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Grille collaborateurs" sheetId="2" state="visible" r:id="rId4"/>
    <sheet name="Grille team leaders" sheetId="3" state="visible" r:id="rId5"/>
    <sheet name="Exemple collaborateur" sheetId="4" state="visible" r:id="rId6"/>
    <sheet name="Exemple team lead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7" authorId="0">
      <text>
        <r>
          <rPr>
            <sz val="10"/>
            <rFont val="Arial"/>
            <family val="2"/>
          </rPr>
          <t xml:space="preserve">Poids proposés, modifiables. Leur total doit faire 100 %.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63" authorId="0">
      <text>
        <r>
          <rPr>
            <sz val="10"/>
            <rFont val="Arial"/>
            <family val="2"/>
          </rPr>
          <t xml:space="preserve">Poids proposés, modifiables. Leur total doit faire 100 %.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7" authorId="0">
      <text>
        <r>
          <rPr>
            <sz val="10"/>
            <rFont val="Arial"/>
            <family val="2"/>
          </rPr>
          <t xml:space="preserve">Poids proposés, modifiables. Leur total doit faire 100 %.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63" authorId="0">
      <text>
        <r>
          <rPr>
            <sz val="10"/>
            <rFont val="Arial"/>
            <family val="2"/>
          </rPr>
          <t xml:space="preserve">Poids proposés, modifiables. Leur total doit faire 100 %.</t>
        </r>
      </text>
    </comment>
  </commentList>
</comments>
</file>

<file path=xl/sharedStrings.xml><?xml version="1.0" encoding="utf-8"?>
<sst xmlns="http://schemas.openxmlformats.org/spreadsheetml/2006/main" count="1040" uniqueCount="420">
  <si>
    <t xml:space="preserve">Grilles d'évaluation en logistique — mode d'emploi</t>
  </si>
  <si>
    <t xml:space="preserve">Complément du document « Cadre d'évaluation en logistique, du préparateur au team leader ». Version du 4 octobre 2026.</t>
  </si>
  <si>
    <t xml:space="preserve">Les onglets</t>
  </si>
  <si>
    <t xml:space="preserve">Grille collaborateurs</t>
  </si>
  <si>
    <t xml:space="preserve">Pour les niveaux 1 à 3 : préparateur, préparateur confirmé, tuteur ou référent de zone. 19 critères sur 5 dimensions.</t>
  </si>
  <si>
    <t xml:space="preserve">Grille team leaders</t>
  </si>
  <si>
    <t xml:space="preserve">Pour le niveau 4. Résultats de l'équipe, compétences et comportements de leadership, routines du leader, feedback à 360 degrés.</t>
  </si>
  <si>
    <t xml:space="preserve">Exemple collaborateur</t>
  </si>
  <si>
    <t xml:space="preserve">La grille collaborateurs remplie pour un préparateur fictif, pour montrer le format attendu.</t>
  </si>
  <si>
    <t xml:space="preserve">Exemple team leader</t>
  </si>
  <si>
    <t xml:space="preserve">La grille team leaders remplie pour un team leader fictif.</t>
  </si>
  <si>
    <t xml:space="preserve">Comment remplir</t>
  </si>
  <si>
    <t xml:space="preserve">Cellules à remplir</t>
  </si>
  <si>
    <t xml:space="preserve">Seules les cellules jaunes à texte bleu se remplissent. Les cellules blanches contiennent les descriptions ou des formules de calcul : ne pas les modifier.</t>
  </si>
  <si>
    <t xml:space="preserve">Notes</t>
  </si>
  <si>
    <t xml:space="preserve">Choisir dans la liste une note de 1 à 4. Lire les quatre descriptions de la ligne et retenir celle qui correspond le mieux à ce qui a été observé sur la période.</t>
  </si>
  <si>
    <t xml:space="preserve">N/A</t>
  </si>
  <si>
    <t xml:space="preserve">Choisir N/A quand un critère ne s'applique pas. Exemple : les critères marqués « Tuteur » pour un préparateur de niveau 1 ou 2. Un N/A n'entre pas dans les moyennes.</t>
  </si>
  <si>
    <t xml:space="preserve">Preuves</t>
  </si>
  <si>
    <t xml:space="preserve">Noter pour chaque critère un fait ou un indicateur : date, chiffre du WMS, observation. Une note sans preuve est une impression.</t>
  </si>
  <si>
    <t xml:space="preserve">Pourcentages</t>
  </si>
  <si>
    <t xml:space="preserve">Dans la grille team leaders, saisir les pourcentages en décimal ou avec le signe % : 98 % se saisit 0,98 ou 98 %.</t>
  </si>
  <si>
    <t xml:space="preserve">Copier une grille</t>
  </si>
  <si>
    <t xml:space="preserve">Pour évaluer une nouvelle personne, dupliquer l'onglet vierge : clic droit sur l'onglet, puis Déplacer ou copier, puis Créer une copie.</t>
  </si>
  <si>
    <t xml:space="preserve">Échelle de notation</t>
  </si>
  <si>
    <t xml:space="preserve">1 – Insuffisant</t>
  </si>
  <si>
    <t xml:space="preserve">Le comportement attendu n'est pas présent. Une action immédiate est nécessaire.</t>
  </si>
  <si>
    <t xml:space="preserve">2 – À développer</t>
  </si>
  <si>
    <t xml:space="preserve">Le comportement est présent mais irrégulier, ou demande des rappels.</t>
  </si>
  <si>
    <t xml:space="preserve">3 – Attendu</t>
  </si>
  <si>
    <t xml:space="preserve">Le comportement est maîtrisé et constant. C'est le niveau normal d'une personne confirmée dans sa fonction.</t>
  </si>
  <si>
    <t xml:space="preserve">4 – Exemplaire</t>
  </si>
  <si>
    <t xml:space="preserve">Le comportement dépasse les attentes et sert d'exemple aux autres.</t>
  </si>
  <si>
    <t xml:space="preserve">Calculs et décisions</t>
  </si>
  <si>
    <t xml:space="preserve">Moyennes</t>
  </si>
  <si>
    <t xml:space="preserve">Chaque dimension reçoit la moyenne de ses notes. Le score global pondère ces moyennes avec les poids indiqués dans la synthèse.</t>
  </si>
  <si>
    <t xml:space="preserve">Poids</t>
  </si>
  <si>
    <t xml:space="preserve">Les poids sont des propositions, modifiables dans les cellules jaunes de la synthèse. Leur total doit rester égal à 100 %.</t>
  </si>
  <si>
    <t xml:space="preserve">Sécurité</t>
  </si>
  <si>
    <t xml:space="preserve">La sécurité n'est jamais compensée par d'autres résultats. Pour un collaborateur, toute note sécurité sous 4 déclenche une alerte. Pour un team leader, la note L1 doit être d'au moins 3.</t>
  </si>
  <si>
    <t xml:space="preserve">Décision</t>
  </si>
  <si>
    <t xml:space="preserve">La décision proposée est une aide. L'évaluateur reste responsable de la décision finale, qu'il justifie dans son commentaire.</t>
  </si>
  <si>
    <t xml:space="preserve">Seuils à adapter</t>
  </si>
  <si>
    <t xml:space="preserve">Les seuils de cadence de la grille collaborateurs, de 80 % à 105 % du standard, et le barème des routines sont des propositions. Les adapter aux standards du site avant le lancement.</t>
  </si>
  <si>
    <t xml:space="preserve">Points d'attention en Belgique</t>
  </si>
  <si>
    <t xml:space="preserve">Concertation sociale</t>
  </si>
  <si>
    <t xml:space="preserve">Informer et consulter le conseil d'entreprise ou, à défaut, la délégation syndicale avant d'utiliser ces grilles. Le comité pour la prévention et la protection au travail est concerné par les volets sécurité et charge de travail.</t>
  </si>
  <si>
    <t xml:space="preserve">Protection des données</t>
  </si>
  <si>
    <t xml:space="preserve">Le RGPD s'applique : informer les personnes des données utilisées, de leur finalité et de leur durée de conservation. Ranger les grilles remplies dans un dossier à accès limité.</t>
  </si>
  <si>
    <t xml:space="preserve">Non-discrimination</t>
  </si>
  <si>
    <t xml:space="preserve">Appliquer les mêmes critères à tous, y compris aux intérimaires et aux travailleurs à temps partiel.</t>
  </si>
  <si>
    <t xml:space="preserve">Validation</t>
  </si>
  <si>
    <t xml:space="preserve">Faire relire le dispositif par le service juridique ou le secrétariat social avant son lancement.</t>
  </si>
  <si>
    <t xml:space="preserve">Grille d'évaluation des collaborateurs</t>
  </si>
  <si>
    <t xml:space="preserve">Niveaux 1 à 3 : préparateur, préparateur confirmé, tuteur ou référent de zone. Les cellules jaunes sont à remplir.</t>
  </si>
  <si>
    <t xml:space="preserve">Identification</t>
  </si>
  <si>
    <t xml:space="preserve">Nom et prénom</t>
  </si>
  <si>
    <t xml:space="preserve">Fonction ou niveau</t>
  </si>
  <si>
    <t xml:space="preserve">Zone ou équipe</t>
  </si>
  <si>
    <t xml:space="preserve">Évaluateur</t>
  </si>
  <si>
    <t xml:space="preserve">Date de l'entretien</t>
  </si>
  <si>
    <t xml:space="preserve">Période évaluée</t>
  </si>
  <si>
    <t xml:space="preserve">Évaluation des critères : choisir une note de 1 à 4, ou N/A si le critère ne s'applique pas au niveau</t>
  </si>
  <si>
    <t xml:space="preserve">Réf.</t>
  </si>
  <si>
    <t xml:space="preserve">Dimension</t>
  </si>
  <si>
    <t xml:space="preserve">Critère</t>
  </si>
  <si>
    <t xml:space="preserve">Niveaux concernés</t>
  </si>
  <si>
    <t xml:space="preserve">Note</t>
  </si>
  <si>
    <t xml:space="preserve">Preuves et commentaires</t>
  </si>
  <si>
    <t xml:space="preserve">S1</t>
  </si>
  <si>
    <t xml:space="preserve">Respecte les consignes de sécurité et porte ses équipements de protection</t>
  </si>
  <si>
    <t xml:space="preserve">Tous</t>
  </si>
  <si>
    <t xml:space="preserve">Oublie régulièrement ses équipements ou ignore une consigne</t>
  </si>
  <si>
    <t xml:space="preserve">Porte ses équipements mais a besoin de rappels</t>
  </si>
  <si>
    <t xml:space="preserve">Équipements portés en permanence, consignes respectées sans rappel</t>
  </si>
  <si>
    <t xml:space="preserve">Exemplaire, rappelle les règles à ses collègues</t>
  </si>
  <si>
    <t xml:space="preserve">S2</t>
  </si>
  <si>
    <t xml:space="preserve">Circule selon le plan de circulation piétons et engins</t>
  </si>
  <si>
    <t xml:space="preserve">Traverse des zones interdites ou coupe les allées engins</t>
  </si>
  <si>
    <t xml:space="preserve">Respecte le plan avec quelques écarts</t>
  </si>
  <si>
    <t xml:space="preserve">Respecte le plan en toutes circonstances</t>
  </si>
  <si>
    <t xml:space="preserve">Signale les risques de circulation et propose des améliorations</t>
  </si>
  <si>
    <t xml:space="preserve">S3</t>
  </si>
  <si>
    <t xml:space="preserve">Applique les gestes et postures de manutention</t>
  </si>
  <si>
    <t xml:space="preserve">Soulève le dos courbé, charges loin du corps</t>
  </si>
  <si>
    <t xml:space="preserve">Bons gestes par moments, oublis en fin de poste</t>
  </si>
  <si>
    <t xml:space="preserve">Bons gestes et aides à la manutention utilisés systématiquement</t>
  </si>
  <si>
    <t xml:space="preserve">Exemplaire, corrige les mauvaises postures de ses collègues</t>
  </si>
  <si>
    <t xml:space="preserve">R1</t>
  </si>
  <si>
    <t xml:space="preserve">Résultats</t>
  </si>
  <si>
    <t xml:space="preserve">Atteint la cadence standard du site</t>
  </si>
  <si>
    <t xml:space="preserve">Moins de 80 % du standard</t>
  </si>
  <si>
    <t xml:space="preserve">De 80 à 94 % du standard</t>
  </si>
  <si>
    <t xml:space="preserve">De 95 à 105 % du standard</t>
  </si>
  <si>
    <t xml:space="preserve">Plus de 105 % du standard, sans dégrader la qualité</t>
  </si>
  <si>
    <t xml:space="preserve">R2</t>
  </si>
  <si>
    <t xml:space="preserve">Respecte le taux d'erreur toléré</t>
  </si>
  <si>
    <t xml:space="preserve">Erreurs fréquentes, plus du double de la tolérance</t>
  </si>
  <si>
    <t xml:space="preserve">Au-dessus de la tolérance du site</t>
  </si>
  <si>
    <t xml:space="preserve">Dans la tolérance du site</t>
  </si>
  <si>
    <t xml:space="preserve">Aucune erreur sur la période</t>
  </si>
  <si>
    <t xml:space="preserve">R3</t>
  </si>
  <si>
    <t xml:space="preserve">Respecte les priorités et les délais d'expédition</t>
  </si>
  <si>
    <t xml:space="preserve">Ignore les priorités, retards fréquents</t>
  </si>
  <si>
    <t xml:space="preserve">Respecte les priorités avec rappel</t>
  </si>
  <si>
    <t xml:space="preserve">Respecte priorités et heures limites sans rappel</t>
  </si>
  <si>
    <t xml:space="preserve">Anticipe les urgences et aide l'équipe à tenir les délais</t>
  </si>
  <si>
    <t xml:space="preserve">C1</t>
  </si>
  <si>
    <t xml:space="preserve">Compétences</t>
  </si>
  <si>
    <t xml:space="preserve">Maîtrise son poste principal (matrice ILUO)</t>
  </si>
  <si>
    <t xml:space="preserve">Niveau I : en formation</t>
  </si>
  <si>
    <t xml:space="preserve">Niveau L : réalise avec aide</t>
  </si>
  <si>
    <t xml:space="preserve">Niveau U : autonome</t>
  </si>
  <si>
    <t xml:space="preserve">Niveau O : capable de former</t>
  </si>
  <si>
    <t xml:space="preserve">C2</t>
  </si>
  <si>
    <t xml:space="preserve">Polyvalence sur les postes de la zone</t>
  </si>
  <si>
    <t xml:space="preserve">Un seul poste, avec aide</t>
  </si>
  <si>
    <t xml:space="preserve">Un poste en autonomie</t>
  </si>
  <si>
    <t xml:space="preserve">Autonome sur au moins trois postes</t>
  </si>
  <si>
    <t xml:space="preserve">Autonome sur trois postes et formateur sur un</t>
  </si>
  <si>
    <t xml:space="preserve">C3</t>
  </si>
  <si>
    <t xml:space="preserve">Utilise le terminal de scan et le WMS</t>
  </si>
  <si>
    <t xml:space="preserve">Erreurs de saisie fréquentes, a besoin d'aide</t>
  </si>
  <si>
    <t xml:space="preserve">Utilise correctement les fonctions de base</t>
  </si>
  <si>
    <t xml:space="preserve">Autonome, y compris sur les anomalies courantes</t>
  </si>
  <si>
    <t xml:space="preserve">Aide ses collègues et signale les dysfonctionnements</t>
  </si>
  <si>
    <t xml:space="preserve">C4</t>
  </si>
  <si>
    <t xml:space="preserve">Met en rayon selon le planogramme et la rotation FIFO ou FEFO</t>
  </si>
  <si>
    <t xml:space="preserve">Planogramme non respecté, dates dépassées laissées en rayon</t>
  </si>
  <si>
    <t xml:space="preserve">Planogramme respecté avec rappels</t>
  </si>
  <si>
    <t xml:space="preserve">Rayon conforme, rotation des dates appliquée</t>
  </si>
  <si>
    <t xml:space="preserve">Rayon exemplaire, signale les écarts de planogramme</t>
  </si>
  <si>
    <t xml:space="preserve">C5</t>
  </si>
  <si>
    <t xml:space="preserve">Forme selon la méthode d'instruction au poste (TWI)</t>
  </si>
  <si>
    <t xml:space="preserve">Tuteur</t>
  </si>
  <si>
    <t xml:space="preserve">Montre sans expliquer ni vérifier</t>
  </si>
  <si>
    <t xml:space="preserve">Explique mais ne fait pas refaire</t>
  </si>
  <si>
    <t xml:space="preserve">Prépare, montre, fait faire, puis suit</t>
  </si>
  <si>
    <t xml:space="preserve">Ses filleuls deviennent autonomes plus vite que la moyenne</t>
  </si>
  <si>
    <t xml:space="preserve">B1</t>
  </si>
  <si>
    <t xml:space="preserve">Comportements</t>
  </si>
  <si>
    <t xml:space="preserve">Applique les standards et le rangement 5S</t>
  </si>
  <si>
    <t xml:space="preserve">Poste encombré, standards ignorés</t>
  </si>
  <si>
    <t xml:space="preserve">Rangement correct avec rappel</t>
  </si>
  <si>
    <t xml:space="preserve">Poste rangé, standards appliqués</t>
  </si>
  <si>
    <t xml:space="preserve">Améliore les standards et entraîne les autres</t>
  </si>
  <si>
    <t xml:space="preserve">B2</t>
  </si>
  <si>
    <t xml:space="preserve">Travaille en équipe et aide ses collègues</t>
  </si>
  <si>
    <t xml:space="preserve">Refuse d'aider, source de tensions</t>
  </si>
  <si>
    <t xml:space="preserve">Aide quand on le lui demande</t>
  </si>
  <si>
    <t xml:space="preserve">Aide spontanément</t>
  </si>
  <si>
    <t xml:space="preserve">Moteur de l'entraide et de l'ambiance</t>
  </si>
  <si>
    <t xml:space="preserve">B3</t>
  </si>
  <si>
    <t xml:space="preserve">Ponctualité et assiduité</t>
  </si>
  <si>
    <t xml:space="preserve">Retards ou absences injustifiées répétés</t>
  </si>
  <si>
    <t xml:space="preserve">Quelques retards</t>
  </si>
  <si>
    <t xml:space="preserve">Ponctuel et assidu</t>
  </si>
  <si>
    <t xml:space="preserve">Ponctuel et disponible pour les pics d'activité</t>
  </si>
  <si>
    <t xml:space="preserve">B4</t>
  </si>
  <si>
    <t xml:space="preserve">Signale les anomalies et communique</t>
  </si>
  <si>
    <t xml:space="preserve">Cache ou ignore les anomalies</t>
  </si>
  <si>
    <t xml:space="preserve">Signale quand on le lui demande</t>
  </si>
  <si>
    <t xml:space="preserve">Signale spontanément ruptures, casse et erreurs</t>
  </si>
  <si>
    <t xml:space="preserve">Signale et propose une solution</t>
  </si>
  <si>
    <t xml:space="preserve">B5</t>
  </si>
  <si>
    <t xml:space="preserve">Accompagne les nouveaux arrivants</t>
  </si>
  <si>
    <t xml:space="preserve">Peu disponible, impatient</t>
  </si>
  <si>
    <t xml:space="preserve">Disponible mais donne peu de retours</t>
  </si>
  <si>
    <t xml:space="preserve">Patient, donne des retours constructifs</t>
  </si>
  <si>
    <t xml:space="preserve">Référence pour l'équipe, filleuls très satisfaits</t>
  </si>
  <si>
    <t xml:space="preserve">A1</t>
  </si>
  <si>
    <t xml:space="preserve">Amélioration continue</t>
  </si>
  <si>
    <t xml:space="preserve">Propose des suggestions Kaizen</t>
  </si>
  <si>
    <t xml:space="preserve">Aucune suggestion</t>
  </si>
  <si>
    <t xml:space="preserve">Une suggestion sur la période</t>
  </si>
  <si>
    <t xml:space="preserve">Plusieurs suggestions, dont une mise en œuvre</t>
  </si>
  <si>
    <t xml:space="preserve">Suggestions régulières, plusieurs mises en œuvre</t>
  </si>
  <si>
    <t xml:space="preserve">A2</t>
  </si>
  <si>
    <t xml:space="preserve">Participe à la résolution de problèmes (PDCA)</t>
  </si>
  <si>
    <t xml:space="preserve">Ne participe pas</t>
  </si>
  <si>
    <t xml:space="preserve">Participe quand on le sollicite</t>
  </si>
  <si>
    <t xml:space="preserve">Contribue activement à l'analyse et aux actions</t>
  </si>
  <si>
    <t xml:space="preserve">Pilote un PDCA de bout en bout</t>
  </si>
  <si>
    <t xml:space="preserve">A3</t>
  </si>
  <si>
    <t xml:space="preserve">Met à jour les modes opératoires de sa zone</t>
  </si>
  <si>
    <t xml:space="preserve">Jamais</t>
  </si>
  <si>
    <t xml:space="preserve">Signale les modes opératoires obsolètes</t>
  </si>
  <si>
    <t xml:space="preserve">Met à jour les modes opératoires</t>
  </si>
  <si>
    <t xml:space="preserve">Crée des supports visuels adoptés par l'équipe</t>
  </si>
  <si>
    <t xml:space="preserve">Synthèse : calculée automatiquement</t>
  </si>
  <si>
    <t xml:space="preserve">Moyenne</t>
  </si>
  <si>
    <t xml:space="preserve">Contribution</t>
  </si>
  <si>
    <t xml:space="preserve">Règle de décision</t>
  </si>
  <si>
    <t xml:space="preserve">Sécurité : note minimale</t>
  </si>
  <si>
    <t xml:space="preserve">Condition</t>
  </si>
  <si>
    <t xml:space="preserve">Doit être égale à 4</t>
  </si>
  <si>
    <t xml:space="preserve">• Sécurité : toute note sous 4 déclenche une alerte, quels que soient les autres résultats.</t>
  </si>
  <si>
    <t xml:space="preserve">• Niveau attendu atteint : toutes les autres notes sont au moins à 3.</t>
  </si>
  <si>
    <t xml:space="preserve">• Plan de progrès : une ou deux notes à 2, aucune note à 1.</t>
  </si>
  <si>
    <t xml:space="preserve">• Alerte RH : trois notes ou plus sous 3, ou au moins une note à 1.</t>
  </si>
  <si>
    <t xml:space="preserve">• Niveau supérieur à étudier : niveau atteint et score global d'au moins 3,5.</t>
  </si>
  <si>
    <t xml:space="preserve">Score global sur 4</t>
  </si>
  <si>
    <t xml:space="preserve">Critères non sécurité sous 3</t>
  </si>
  <si>
    <t xml:space="preserve">Critères non sécurité à 1</t>
  </si>
  <si>
    <t xml:space="preserve">Décision proposée</t>
  </si>
  <si>
    <t xml:space="preserve">Évolution</t>
  </si>
  <si>
    <t xml:space="preserve">Objectifs SMART pour la prochaine période (deux ou trois au maximum)</t>
  </si>
  <si>
    <t xml:space="preserve">N°</t>
  </si>
  <si>
    <t xml:space="preserve">Objectif</t>
  </si>
  <si>
    <t xml:space="preserve">Indicateur</t>
  </si>
  <si>
    <t xml:space="preserve">Cible</t>
  </si>
  <si>
    <t xml:space="preserve">Échéance</t>
  </si>
  <si>
    <t xml:space="preserve">Résultat à la fin de la période</t>
  </si>
  <si>
    <t xml:space="preserve">Commentaire</t>
  </si>
  <si>
    <t xml:space="preserve">Plan de développement</t>
  </si>
  <si>
    <t xml:space="preserve">Action</t>
  </si>
  <si>
    <t xml:space="preserve">Type</t>
  </si>
  <si>
    <t xml:space="preserve">Responsable</t>
  </si>
  <si>
    <t xml:space="preserve">Suivi</t>
  </si>
  <si>
    <t xml:space="preserve">Commentaires et signatures</t>
  </si>
  <si>
    <t xml:space="preserve">Commentaire de l'évaluateur</t>
  </si>
  <si>
    <t xml:space="preserve">Commentaire de la personne évaluée</t>
  </si>
  <si>
    <t xml:space="preserve">Signature de l'évaluateur</t>
  </si>
  <si>
    <t xml:space="preserve">Signature de la personne évaluée</t>
  </si>
  <si>
    <t xml:space="preserve">Grille d'évaluation des team leaders</t>
  </si>
  <si>
    <t xml:space="preserve">Niveau 4 : le team leader est évalué sur les résultats de son équipe et sur la façon dont il la fait grandir. Les cellules jaunes sont à remplir.</t>
  </si>
  <si>
    <t xml:space="preserve">A. Résultats de l'équipe (Balanced Scorecard) : 4 = cible nettement dépassée, 3 = cible atteinte, 2 = proche de la cible, 1 = loin de la cible</t>
  </si>
  <si>
    <t xml:space="preserve">Famille</t>
  </si>
  <si>
    <t xml:space="preserve">Unité</t>
  </si>
  <si>
    <t xml:space="preserve">Sens</t>
  </si>
  <si>
    <t xml:space="preserve">Réalisé</t>
  </si>
  <si>
    <t xml:space="preserve">Écart</t>
  </si>
  <si>
    <t xml:space="preserve">Commentaire et source</t>
  </si>
  <si>
    <t xml:space="preserve">I1</t>
  </si>
  <si>
    <t xml:space="preserve">Accidents avec arrêt</t>
  </si>
  <si>
    <t xml:space="preserve">nombre</t>
  </si>
  <si>
    <t xml:space="preserve">Plus bas = mieux</t>
  </si>
  <si>
    <t xml:space="preserve">I2</t>
  </si>
  <si>
    <t xml:space="preserve">Presque-accidents signalés</t>
  </si>
  <si>
    <t xml:space="preserve">Plus haut = mieux</t>
  </si>
  <si>
    <t xml:space="preserve">I3</t>
  </si>
  <si>
    <t xml:space="preserve">Observations de sécurité réalisées</t>
  </si>
  <si>
    <t xml:space="preserve">I4</t>
  </si>
  <si>
    <t xml:space="preserve">Clients et qualité</t>
  </si>
  <si>
    <t xml:space="preserve">Taux de commandes parfaites</t>
  </si>
  <si>
    <t xml:space="preserve">%</t>
  </si>
  <si>
    <t xml:space="preserve">I5</t>
  </si>
  <si>
    <t xml:space="preserve">Taux d'erreur de préparation</t>
  </si>
  <si>
    <t xml:space="preserve">I6</t>
  </si>
  <si>
    <t xml:space="preserve">Taux de rupture en rayon</t>
  </si>
  <si>
    <t xml:space="preserve">I7</t>
  </si>
  <si>
    <t xml:space="preserve">Processus</t>
  </si>
  <si>
    <t xml:space="preserve">Productivité de l'équipe</t>
  </si>
  <si>
    <t xml:space="preserve">% du standard</t>
  </si>
  <si>
    <t xml:space="preserve">I8</t>
  </si>
  <si>
    <t xml:space="preserve">Respect des délais d'expédition</t>
  </si>
  <si>
    <t xml:space="preserve">I9</t>
  </si>
  <si>
    <t xml:space="preserve">Casse imputable à la manutention</t>
  </si>
  <si>
    <t xml:space="preserve">nombre de colis</t>
  </si>
  <si>
    <t xml:space="preserve">I10</t>
  </si>
  <si>
    <t xml:space="preserve">Personnes et apprentissage</t>
  </si>
  <si>
    <t xml:space="preserve">Taux de polyvalence ILUO (personnes au niveau U sur 3 postes ou plus)</t>
  </si>
  <si>
    <t xml:space="preserve">I11</t>
  </si>
  <si>
    <t xml:space="preserve">Absentéisme</t>
  </si>
  <si>
    <t xml:space="preserve">I12</t>
  </si>
  <si>
    <t xml:space="preserve">Départs dans les 6 premiers mois</t>
  </si>
  <si>
    <t xml:space="preserve">I13</t>
  </si>
  <si>
    <t xml:space="preserve">Suggestions Kaizen mises en œuvre</t>
  </si>
  <si>
    <t xml:space="preserve">B. Compétences et comportements de leadership : choisir la note dont la description correspond à ce qui a été observé</t>
  </si>
  <si>
    <t xml:space="preserve">L1</t>
  </si>
  <si>
    <t xml:space="preserve">Exemplarité et animation de la sécurité</t>
  </si>
  <si>
    <t xml:space="preserve">Tolère les écarts de sécurité</t>
  </si>
  <si>
    <t xml:space="preserve">Rappelle les règles après un incident</t>
  </si>
  <si>
    <t xml:space="preserve">Fait respecter les règles au quotidien, traite les presque-accidents</t>
  </si>
  <si>
    <t xml:space="preserve">Culture sécurité visible : l'équipe signale et corrige d'elle-même</t>
  </si>
  <si>
    <t xml:space="preserve">L2</t>
  </si>
  <si>
    <t xml:space="preserve">Compétences managériales</t>
  </si>
  <si>
    <t xml:space="preserve">Planification et affectation de l'équipe</t>
  </si>
  <si>
    <t xml:space="preserve">Planning subi, sous-effectif non anticipé</t>
  </si>
  <si>
    <t xml:space="preserve">Planning correct mais réactif</t>
  </si>
  <si>
    <t xml:space="preserve">Planning anticipé selon les volumes et la polyvalence</t>
  </si>
  <si>
    <t xml:space="preserve">Planning optimisé, équipe prête pour les pics</t>
  </si>
  <si>
    <t xml:space="preserve">L3</t>
  </si>
  <si>
    <t xml:space="preserve">Développement des compétences (ILUO, TWI)</t>
  </si>
  <si>
    <t xml:space="preserve">Matrice ILUO absente ou obsolète</t>
  </si>
  <si>
    <t xml:space="preserve">Matrice à jour, peu d'actions de formation</t>
  </si>
  <si>
    <t xml:space="preserve">Plan de formation suivi, polyvalence en hausse</t>
  </si>
  <si>
    <t xml:space="preserve">Forme des tuteurs, polyvalence nettement au-dessus de la cible</t>
  </si>
  <si>
    <t xml:space="preserve">L4</t>
  </si>
  <si>
    <t xml:space="preserve">Maîtrise des outils : WMS et tableaux de bord</t>
  </si>
  <si>
    <t xml:space="preserve">Dépend des autres pour obtenir les données</t>
  </si>
  <si>
    <t xml:space="preserve">Utilise les rapports standard</t>
  </si>
  <si>
    <t xml:space="preserve">Analyse les données et en tire des actions</t>
  </si>
  <si>
    <t xml:space="preserve">Construit des analyses utiles à tout le site</t>
  </si>
  <si>
    <t xml:space="preserve">L5</t>
  </si>
  <si>
    <t xml:space="preserve">Comportements de leadership</t>
  </si>
  <si>
    <t xml:space="preserve">Animation du point d'équipe</t>
  </si>
  <si>
    <t xml:space="preserve">Point annulé ou improvisé, indicateurs non à jour, pas d'action décidée</t>
  </si>
  <si>
    <t xml:space="preserve">Point tenu mais trop long, le team leader parle seul, actions sans responsable</t>
  </si>
  <si>
    <t xml:space="preserve">Point de 10 minutes à l'heure, tableau SQDCP à jour, chaque écart a une action, un nom et une date</t>
  </si>
  <si>
    <t xml:space="preserve">L'équipe prend la parole, les actions de la veille sont vérifiées, les réussites sont reconnues</t>
  </si>
  <si>
    <t xml:space="preserve">L6</t>
  </si>
  <si>
    <t xml:space="preserve">Gemba walk et respect des standards</t>
  </si>
  <si>
    <t xml:space="preserve">Rarement sur le terrain</t>
  </si>
  <si>
    <t xml:space="preserve">Présent sur le terrain sans grille ni suivi</t>
  </si>
  <si>
    <t xml:space="preserve">Tour quotidien, écarts traités</t>
  </si>
  <si>
    <t xml:space="preserve">Écarts traités à la racine, standards améliorés</t>
  </si>
  <si>
    <t xml:space="preserve">L7</t>
  </si>
  <si>
    <t xml:space="preserve">Feedback et reconnaissance</t>
  </si>
  <si>
    <t xml:space="preserve">Critique en public, ne reconnaît pas les efforts</t>
  </si>
  <si>
    <t xml:space="preserve">Feedback occasionnel, surtout négatif</t>
  </si>
  <si>
    <t xml:space="preserve">Feedback régulier et factuel, positif comme correctif</t>
  </si>
  <si>
    <t xml:space="preserve">Feedback attendu et apprécié par l'équipe</t>
  </si>
  <si>
    <t xml:space="preserve">L8</t>
  </si>
  <si>
    <t xml:space="preserve">Équité et gestion des tensions</t>
  </si>
  <si>
    <t xml:space="preserve">Favoritisme perçu, conflits ignorés</t>
  </si>
  <si>
    <t xml:space="preserve">Gère les conflits quand ils éclatent</t>
  </si>
  <si>
    <t xml:space="preserve">Traite chacun avec équité, désamorce les tensions tôt</t>
  </si>
  <si>
    <t xml:space="preserve">Climat de confiance reconnu, conflits rares</t>
  </si>
  <si>
    <t xml:space="preserve">L9</t>
  </si>
  <si>
    <t xml:space="preserve">Adapte son style à chaque personne (leadership situationnel)</t>
  </si>
  <si>
    <t xml:space="preserve">Même style pour tous</t>
  </si>
  <si>
    <t xml:space="preserve">Adapte parfois, sans méthode</t>
  </si>
  <si>
    <t xml:space="preserve">Dirige les nouveaux, délègue aux confirmés</t>
  </si>
  <si>
    <t xml:space="preserve">Fait progresser chacun vers plus d'autonomie</t>
  </si>
  <si>
    <t xml:space="preserve">L10</t>
  </si>
  <si>
    <t xml:space="preserve">Communication avec la hiérarchie et les autres services</t>
  </si>
  <si>
    <t xml:space="preserve">Informations bloquées ou tardives</t>
  </si>
  <si>
    <t xml:space="preserve">Remonte les problèmes sans proposition</t>
  </si>
  <si>
    <t xml:space="preserve">Remonte faits et propositions à temps</t>
  </si>
  <si>
    <t xml:space="preserve">Interlocuteur de référence pour les autres services</t>
  </si>
  <si>
    <t xml:space="preserve">L11</t>
  </si>
  <si>
    <t xml:space="preserve">Pilotage de chantiers A3 et PDCA</t>
  </si>
  <si>
    <t xml:space="preserve">Aucun chantier</t>
  </si>
  <si>
    <t xml:space="preserve">Chantier lancé sans aboutir</t>
  </si>
  <si>
    <t xml:space="preserve">Au moins un A3 mené à terme sur la période</t>
  </si>
  <si>
    <t xml:space="preserve">Plusieurs A3 aux gains mesurés</t>
  </si>
  <si>
    <t xml:space="preserve">L12</t>
  </si>
  <si>
    <t xml:space="preserve">Gestion des suggestions de l'équipe</t>
  </si>
  <si>
    <t xml:space="preserve">Suggestions ignorées</t>
  </si>
  <si>
    <t xml:space="preserve">Suggestions traitées avec retard</t>
  </si>
  <si>
    <t xml:space="preserve">Réponse sous 15 jours, suggestions utiles mises en œuvre</t>
  </si>
  <si>
    <t xml:space="preserve">Nombre de suggestions par personne parmi les meilleurs du site</t>
  </si>
  <si>
    <t xml:space="preserve">C. Travail standardisé du leader : routines observées sur le mois (Oui, Partiel ou Non)</t>
  </si>
  <si>
    <t xml:space="preserve">Routine</t>
  </si>
  <si>
    <t xml:space="preserve">Statut</t>
  </si>
  <si>
    <t xml:space="preserve">Observation</t>
  </si>
  <si>
    <t xml:space="preserve">Point d'équipe quotidien tenu à l'heure, tableau SQDCP à jour</t>
  </si>
  <si>
    <t xml:space="preserve">Gemba walk quotidien, avec au moins un écart traité par jour</t>
  </si>
  <si>
    <t xml:space="preserve">Matrice ILUO mise à jour chaque mois</t>
  </si>
  <si>
    <t xml:space="preserve">R4</t>
  </si>
  <si>
    <t xml:space="preserve">Entretiens individuels planifiés et réalisés</t>
  </si>
  <si>
    <t xml:space="preserve">R5</t>
  </si>
  <si>
    <t xml:space="preserve">Accueil des nouveaux arrivants selon le programme d'intégration</t>
  </si>
  <si>
    <t xml:space="preserve">R6</t>
  </si>
  <si>
    <t xml:space="preserve">Suggestions de l'équipe traitées sous 15 jours, avec une réponse à leur auteur</t>
  </si>
  <si>
    <t xml:space="preserve">Taux de respect des routines</t>
  </si>
  <si>
    <t xml:space="preserve">Barème : 90 % ou plus = 4 · 75 à 89 % = 3 · 50 à 74 % = 2 · moins de 50 % = 1. Oui compte 1, Partiel 0,5, Non 0.</t>
  </si>
  <si>
    <t xml:space="preserve">D. Feedback à 360 degrés : pour le développement uniquement, non compté dans le score global</t>
  </si>
  <si>
    <t xml:space="preserve">Groupe</t>
  </si>
  <si>
    <t xml:space="preserve">Nombre de répondants</t>
  </si>
  <si>
    <t xml:space="preserve">Moyenne obtenue (1 à 4)</t>
  </si>
  <si>
    <t xml:space="preserve">Moyenne restituée</t>
  </si>
  <si>
    <t xml:space="preserve">Responsable du team leader</t>
  </si>
  <si>
    <t xml:space="preserve">Les réponses restent anonymes. La moyenne des pairs et de l'équipe n'est restituée qu'à partir de trois répondants. Les comportements interrogés : clarté des consignes, équité, écoute, reconnaissance, exemplarité en sécurité, gestion des tensions.</t>
  </si>
  <si>
    <t xml:space="preserve">Pairs (autres team leaders)</t>
  </si>
  <si>
    <t xml:space="preserve">Membres de l'équipe</t>
  </si>
  <si>
    <t xml:space="preserve">Moyenne 360 degrés</t>
  </si>
  <si>
    <t xml:space="preserve">Sécurité : note L1</t>
  </si>
  <si>
    <t xml:space="preserve">Doit être d'au moins 3</t>
  </si>
  <si>
    <t xml:space="preserve">• Sécurité : une note L1 sous 3 déclenche une alerte, quels que soient les autres résultats.</t>
  </si>
  <si>
    <t xml:space="preserve">Résultats de l'équipe</t>
  </si>
  <si>
    <t xml:space="preserve">• Au-delà des attentes : score global d'au moins 3,5.</t>
  </si>
  <si>
    <t xml:space="preserve">• Attentes atteintes : score de 2,75 à 3,49.</t>
  </si>
  <si>
    <t xml:space="preserve">• Plan de progrès sur 3 mois : score de 2 à 2,74.</t>
  </si>
  <si>
    <t xml:space="preserve">• Accompagnement renforcé : score sous 2.</t>
  </si>
  <si>
    <t xml:space="preserve">Routines du leader</t>
  </si>
  <si>
    <t xml:space="preserve">• Le feedback à 360 degrés nourrit le plan de développement mais n'entre pas dans le score.</t>
  </si>
  <si>
    <t xml:space="preserve">Exemple : Sam Dupont</t>
  </si>
  <si>
    <t xml:space="preserve">2. Préparateur confirmé</t>
  </si>
  <si>
    <t xml:space="preserve">Préparation, équipe du matin</t>
  </si>
  <si>
    <t xml:space="preserve">Exemple : Alex Martin, team leader</t>
  </si>
  <si>
    <t xml:space="preserve">1er avril au 30 septembre 2026</t>
  </si>
  <si>
    <t xml:space="preserve">Bons gestes, utilise l'aide à la manutention pour les colis lourds (observé le 12/09).</t>
  </si>
  <si>
    <t xml:space="preserve">Moyenne de 101 % du standard sur la période, extraction WMS du 30/09.</t>
  </si>
  <si>
    <t xml:space="preserve">0,3 % d'erreurs pour une tolérance du site de 0,5 %.</t>
  </si>
  <si>
    <t xml:space="preserve">Autonome en préparation, réception et mise en rayon. En apprentissage en expédition.</t>
  </si>
  <si>
    <t xml:space="preserve">Aide spontanément les nouveaux arrivants, cité par deux collègues.</t>
  </si>
  <si>
    <t xml:space="preserve">Une seule suggestion sur la période, non mise en œuvre.</t>
  </si>
  <si>
    <t xml:space="preserve">Atteindre le niveau U en expédition</t>
  </si>
  <si>
    <t xml:space="preserve">Matrice ILUO</t>
  </si>
  <si>
    <t xml:space="preserve">Niveau U validé par le tuteur</t>
  </si>
  <si>
    <t xml:space="preserve">Binôme avec le tuteur d'expédition deux jours par semaine</t>
  </si>
  <si>
    <t xml:space="preserve">Proposer des améliorations de son poste</t>
  </si>
  <si>
    <t xml:space="preserve">Suggestions Kaizen</t>
  </si>
  <si>
    <t xml:space="preserve">3 suggestions, dont 1 mise en œuvre</t>
  </si>
  <si>
    <t xml:space="preserve">Formation à l'expédition</t>
  </si>
  <si>
    <t xml:space="preserve">Tutorat</t>
  </si>
  <si>
    <t xml:space="preserve">Tuteur expédition</t>
  </si>
  <si>
    <t xml:space="preserve">Point mensuel avec le team leader</t>
  </si>
  <si>
    <t xml:space="preserve">Atelier de résolution de problèmes PDCA</t>
  </si>
  <si>
    <t xml:space="preserve">Formation</t>
  </si>
  <si>
    <t xml:space="preserve">Responsable amélioration continue</t>
  </si>
  <si>
    <t xml:space="preserve">Exemple : Alex Martin</t>
  </si>
  <si>
    <t xml:space="preserve">4. Team leader</t>
  </si>
  <si>
    <t xml:space="preserve">Exemple : Responsable d'exploitation</t>
  </si>
  <si>
    <t xml:space="preserve">Matrice ILUO à jour mais deux personnes seulement formées en expédition sur six mois.</t>
  </si>
  <si>
    <t xml:space="preserve">Reconnaissance publique des réussites à chaque point d'équipe, très appréciée selon le 360.</t>
  </si>
  <si>
    <t xml:space="preserve">Même niveau de contrôle pour les nouveaux et les confirmés.</t>
  </si>
  <si>
    <t xml:space="preserve">Un A3 sur les erreurs de préparation lancé en juin, non terminé.</t>
  </si>
  <si>
    <t xml:space="preserve">Oui</t>
  </si>
  <si>
    <t xml:space="preserve">Partiel</t>
  </si>
  <si>
    <t xml:space="preserve">Porter le taux de polyvalence de l'équipe à 60 %</t>
  </si>
  <si>
    <t xml:space="preserve">Taux de polyvalence ILUO</t>
  </si>
  <si>
    <t xml:space="preserve">60 %</t>
  </si>
  <si>
    <t xml:space="preserve">Mener à terme l'A3 sur les erreurs de préparation</t>
  </si>
  <si>
    <t xml:space="preserve">0,35 %</t>
  </si>
  <si>
    <t xml:space="preserve">Formation au leadership situationnel</t>
  </si>
  <si>
    <t xml:space="preserve">RH</t>
  </si>
  <si>
    <t xml:space="preserve">Coaching sur la méthode A3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</si>
</sst>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0.0"/>
    <numFmt numFmtId="167" formatCode="0.00"/>
    <numFmt numFmtId="168" formatCode="0%"/>
    <numFmt numFmtId="169" formatCode="0"/>
    <numFmt numFmtId="170" formatCode="0.0%"/>
    <numFmt numFmtId="171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40404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D9E2F3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A9D08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A9D08E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9.5" hidden="false" customHeight="true" outlineLevel="0" collapsed="false">
      <c r="A4" s="3" t="s">
        <v>2</v>
      </c>
      <c r="B4" s="3"/>
      <c r="C4" s="3"/>
    </row>
    <row r="5" customFormat="false" ht="30" hidden="false" customHeight="true" outlineLevel="0" collapsed="false">
      <c r="B5" s="4" t="s">
        <v>3</v>
      </c>
      <c r="C5" s="5" t="s">
        <v>4</v>
      </c>
    </row>
    <row r="6" customFormat="false" ht="30" hidden="false" customHeight="true" outlineLevel="0" collapsed="false">
      <c r="B6" s="4" t="s">
        <v>5</v>
      </c>
      <c r="C6" s="5" t="s">
        <v>6</v>
      </c>
    </row>
    <row r="7" customFormat="false" ht="18" hidden="false" customHeight="true" outlineLevel="0" collapsed="false">
      <c r="B7" s="4" t="s">
        <v>7</v>
      </c>
      <c r="C7" s="5" t="s">
        <v>8</v>
      </c>
    </row>
    <row r="8" customFormat="false" ht="18" hidden="false" customHeight="true" outlineLevel="0" collapsed="false">
      <c r="B8" s="4" t="s">
        <v>9</v>
      </c>
      <c r="C8" s="5" t="s">
        <v>10</v>
      </c>
    </row>
    <row r="10" customFormat="false" ht="19.5" hidden="false" customHeight="true" outlineLevel="0" collapsed="false">
      <c r="A10" s="3" t="s">
        <v>11</v>
      </c>
      <c r="B10" s="3"/>
      <c r="C10" s="3"/>
    </row>
    <row r="11" customFormat="false" ht="30" hidden="false" customHeight="true" outlineLevel="0" collapsed="false">
      <c r="B11" s="4" t="s">
        <v>12</v>
      </c>
      <c r="C11" s="5" t="s">
        <v>13</v>
      </c>
    </row>
    <row r="12" customFormat="false" ht="30" hidden="false" customHeight="true" outlineLevel="0" collapsed="false">
      <c r="B12" s="4" t="s">
        <v>14</v>
      </c>
      <c r="C12" s="5" t="s">
        <v>15</v>
      </c>
    </row>
    <row r="13" customFormat="false" ht="30" hidden="false" customHeight="true" outlineLevel="0" collapsed="false">
      <c r="B13" s="4" t="s">
        <v>16</v>
      </c>
      <c r="C13" s="5" t="s">
        <v>17</v>
      </c>
    </row>
    <row r="14" customFormat="false" ht="30" hidden="false" customHeight="true" outlineLevel="0" collapsed="false">
      <c r="B14" s="4" t="s">
        <v>18</v>
      </c>
      <c r="C14" s="5" t="s">
        <v>19</v>
      </c>
    </row>
    <row r="15" customFormat="false" ht="30" hidden="false" customHeight="true" outlineLevel="0" collapsed="false">
      <c r="B15" s="4" t="s">
        <v>20</v>
      </c>
      <c r="C15" s="5" t="s">
        <v>21</v>
      </c>
    </row>
    <row r="16" customFormat="false" ht="30" hidden="false" customHeight="true" outlineLevel="0" collapsed="false">
      <c r="B16" s="4" t="s">
        <v>22</v>
      </c>
      <c r="C16" s="5" t="s">
        <v>23</v>
      </c>
    </row>
    <row r="18" customFormat="false" ht="19.5" hidden="false" customHeight="true" outlineLevel="0" collapsed="false">
      <c r="A18" s="3" t="s">
        <v>24</v>
      </c>
      <c r="B18" s="3"/>
      <c r="C18" s="3"/>
    </row>
    <row r="19" customFormat="false" ht="18" hidden="false" customHeight="true" outlineLevel="0" collapsed="false">
      <c r="B19" s="4" t="s">
        <v>25</v>
      </c>
      <c r="C19" s="5" t="s">
        <v>26</v>
      </c>
    </row>
    <row r="20" customFormat="false" ht="18" hidden="false" customHeight="true" outlineLevel="0" collapsed="false">
      <c r="B20" s="4" t="s">
        <v>27</v>
      </c>
      <c r="C20" s="5" t="s">
        <v>28</v>
      </c>
    </row>
    <row r="21" customFormat="false" ht="30" hidden="false" customHeight="true" outlineLevel="0" collapsed="false">
      <c r="B21" s="4" t="s">
        <v>29</v>
      </c>
      <c r="C21" s="5" t="s">
        <v>30</v>
      </c>
    </row>
    <row r="22" customFormat="false" ht="18" hidden="false" customHeight="true" outlineLevel="0" collapsed="false">
      <c r="B22" s="4" t="s">
        <v>31</v>
      </c>
      <c r="C22" s="5" t="s">
        <v>32</v>
      </c>
    </row>
    <row r="24" customFormat="false" ht="19.5" hidden="false" customHeight="true" outlineLevel="0" collapsed="false">
      <c r="A24" s="3" t="s">
        <v>33</v>
      </c>
      <c r="B24" s="3"/>
      <c r="C24" s="3"/>
    </row>
    <row r="25" customFormat="false" ht="30" hidden="false" customHeight="true" outlineLevel="0" collapsed="false">
      <c r="B25" s="4" t="s">
        <v>34</v>
      </c>
      <c r="C25" s="5" t="s">
        <v>35</v>
      </c>
    </row>
    <row r="26" customFormat="false" ht="30" hidden="false" customHeight="true" outlineLevel="0" collapsed="false">
      <c r="B26" s="4" t="s">
        <v>36</v>
      </c>
      <c r="C26" s="5" t="s">
        <v>37</v>
      </c>
    </row>
    <row r="27" customFormat="false" ht="30" hidden="false" customHeight="true" outlineLevel="0" collapsed="false">
      <c r="B27" s="4" t="s">
        <v>38</v>
      </c>
      <c r="C27" s="5" t="s">
        <v>39</v>
      </c>
    </row>
    <row r="28" customFormat="false" ht="30" hidden="false" customHeight="true" outlineLevel="0" collapsed="false">
      <c r="B28" s="4" t="s">
        <v>40</v>
      </c>
      <c r="C28" s="5" t="s">
        <v>41</v>
      </c>
    </row>
    <row r="29" customFormat="false" ht="30" hidden="false" customHeight="true" outlineLevel="0" collapsed="false">
      <c r="B29" s="4" t="s">
        <v>42</v>
      </c>
      <c r="C29" s="5" t="s">
        <v>43</v>
      </c>
    </row>
    <row r="31" customFormat="false" ht="19.5" hidden="false" customHeight="true" outlineLevel="0" collapsed="false">
      <c r="A31" s="3" t="s">
        <v>44</v>
      </c>
      <c r="B31" s="3"/>
      <c r="C31" s="3"/>
    </row>
    <row r="32" customFormat="false" ht="45" hidden="false" customHeight="true" outlineLevel="0" collapsed="false">
      <c r="B32" s="4" t="s">
        <v>45</v>
      </c>
      <c r="C32" s="5" t="s">
        <v>46</v>
      </c>
    </row>
    <row r="33" customFormat="false" ht="30" hidden="false" customHeight="true" outlineLevel="0" collapsed="false">
      <c r="B33" s="4" t="s">
        <v>47</v>
      </c>
      <c r="C33" s="5" t="s">
        <v>48</v>
      </c>
    </row>
    <row r="34" customFormat="false" ht="30" hidden="false" customHeight="true" outlineLevel="0" collapsed="false">
      <c r="B34" s="4" t="s">
        <v>49</v>
      </c>
      <c r="C34" s="5" t="s">
        <v>50</v>
      </c>
    </row>
    <row r="35" customFormat="false" ht="30" hidden="false" customHeight="true" outlineLevel="0" collapsed="false">
      <c r="B35" s="4" t="s">
        <v>51</v>
      </c>
      <c r="C35" s="5" t="s">
        <v>52</v>
      </c>
    </row>
  </sheetData>
  <mergeCells count="5">
    <mergeCell ref="A4:C4"/>
    <mergeCell ref="A10:C10"/>
    <mergeCell ref="A18:C18"/>
    <mergeCell ref="A24:C24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J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13"/>
    <col collapsed="false" customWidth="true" hidden="false" outlineLevel="0" max="8" min="5" style="0" width="26"/>
    <col collapsed="false" customWidth="true" hidden="false" outlineLevel="0" max="9" min="9" style="0" width="9"/>
    <col collapsed="false" customWidth="true" hidden="false" outlineLevel="0" max="10" min="10" style="0" width="36"/>
  </cols>
  <sheetData>
    <row r="1" customFormat="false" ht="19.7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9.5" hidden="false" customHeight="true" outlineLevel="0" collapsed="false">
      <c r="A4" s="3" t="s">
        <v>55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B5" s="4" t="s">
        <v>56</v>
      </c>
      <c r="C5" s="6"/>
      <c r="D5" s="6"/>
    </row>
    <row r="6" customFormat="false" ht="15" hidden="false" customHeight="false" outlineLevel="0" collapsed="false">
      <c r="B6" s="4" t="s">
        <v>57</v>
      </c>
      <c r="C6" s="6"/>
      <c r="D6" s="6"/>
    </row>
    <row r="7" customFormat="false" ht="15" hidden="false" customHeight="false" outlineLevel="0" collapsed="false">
      <c r="B7" s="4" t="s">
        <v>58</v>
      </c>
      <c r="C7" s="6"/>
      <c r="D7" s="6"/>
    </row>
    <row r="8" customFormat="false" ht="15" hidden="false" customHeight="false" outlineLevel="0" collapsed="false">
      <c r="B8" s="4" t="s">
        <v>59</v>
      </c>
      <c r="C8" s="6"/>
      <c r="D8" s="6"/>
    </row>
    <row r="9" customFormat="false" ht="15" hidden="false" customHeight="false" outlineLevel="0" collapsed="false">
      <c r="B9" s="4" t="s">
        <v>60</v>
      </c>
      <c r="C9" s="7"/>
      <c r="D9" s="7"/>
    </row>
    <row r="10" customFormat="false" ht="15" hidden="false" customHeight="false" outlineLevel="0" collapsed="false">
      <c r="B10" s="4" t="s">
        <v>61</v>
      </c>
      <c r="C10" s="6"/>
      <c r="D10" s="6"/>
    </row>
    <row r="12" customFormat="false" ht="19.5" hidden="false" customHeight="true" outlineLevel="0" collapsed="false">
      <c r="A12" s="3" t="s">
        <v>62</v>
      </c>
      <c r="B12" s="3"/>
      <c r="C12" s="3"/>
      <c r="D12" s="3"/>
      <c r="E12" s="3"/>
      <c r="F12" s="3"/>
      <c r="G12" s="3"/>
      <c r="H12" s="3"/>
      <c r="I12" s="3"/>
      <c r="J12" s="3"/>
    </row>
    <row r="13" customFormat="false" ht="23.85" hidden="false" customHeight="false" outlineLevel="0" collapsed="false">
      <c r="A13" s="8" t="s">
        <v>63</v>
      </c>
      <c r="B13" s="8" t="s">
        <v>64</v>
      </c>
      <c r="C13" s="8" t="s">
        <v>65</v>
      </c>
      <c r="D13" s="8" t="s">
        <v>66</v>
      </c>
      <c r="E13" s="8" t="s">
        <v>25</v>
      </c>
      <c r="F13" s="8" t="s">
        <v>27</v>
      </c>
      <c r="G13" s="8" t="s">
        <v>29</v>
      </c>
      <c r="H13" s="8" t="s">
        <v>31</v>
      </c>
      <c r="I13" s="8" t="s">
        <v>67</v>
      </c>
      <c r="J13" s="8" t="s">
        <v>68</v>
      </c>
    </row>
    <row r="14" customFormat="false" ht="42" hidden="false" customHeight="true" outlineLevel="0" collapsed="false">
      <c r="A14" s="9" t="s">
        <v>69</v>
      </c>
      <c r="B14" s="5" t="s">
        <v>38</v>
      </c>
      <c r="C14" s="10" t="s">
        <v>70</v>
      </c>
      <c r="D14" s="9" t="s">
        <v>71</v>
      </c>
      <c r="E14" s="5" t="s">
        <v>72</v>
      </c>
      <c r="F14" s="5" t="s">
        <v>73</v>
      </c>
      <c r="G14" s="5" t="s">
        <v>74</v>
      </c>
      <c r="H14" s="5" t="s">
        <v>75</v>
      </c>
      <c r="I14" s="11"/>
      <c r="J14" s="6"/>
    </row>
    <row r="15" customFormat="false" ht="42" hidden="false" customHeight="true" outlineLevel="0" collapsed="false">
      <c r="A15" s="9" t="s">
        <v>76</v>
      </c>
      <c r="B15" s="5" t="s">
        <v>38</v>
      </c>
      <c r="C15" s="10" t="s">
        <v>77</v>
      </c>
      <c r="D15" s="9" t="s">
        <v>71</v>
      </c>
      <c r="E15" s="5" t="s">
        <v>78</v>
      </c>
      <c r="F15" s="5" t="s">
        <v>79</v>
      </c>
      <c r="G15" s="5" t="s">
        <v>80</v>
      </c>
      <c r="H15" s="5" t="s">
        <v>81</v>
      </c>
      <c r="I15" s="11"/>
      <c r="J15" s="6"/>
    </row>
    <row r="16" customFormat="false" ht="42" hidden="false" customHeight="true" outlineLevel="0" collapsed="false">
      <c r="A16" s="9" t="s">
        <v>82</v>
      </c>
      <c r="B16" s="5" t="s">
        <v>38</v>
      </c>
      <c r="C16" s="10" t="s">
        <v>83</v>
      </c>
      <c r="D16" s="9" t="s">
        <v>71</v>
      </c>
      <c r="E16" s="5" t="s">
        <v>84</v>
      </c>
      <c r="F16" s="5" t="s">
        <v>85</v>
      </c>
      <c r="G16" s="5" t="s">
        <v>86</v>
      </c>
      <c r="H16" s="5" t="s">
        <v>87</v>
      </c>
      <c r="I16" s="11"/>
      <c r="J16" s="6"/>
    </row>
    <row r="17" customFormat="false" ht="42" hidden="false" customHeight="true" outlineLevel="0" collapsed="false">
      <c r="A17" s="9" t="s">
        <v>88</v>
      </c>
      <c r="B17" s="5" t="s">
        <v>89</v>
      </c>
      <c r="C17" s="10" t="s">
        <v>90</v>
      </c>
      <c r="D17" s="9" t="s">
        <v>71</v>
      </c>
      <c r="E17" s="5" t="s">
        <v>91</v>
      </c>
      <c r="F17" s="5" t="s">
        <v>92</v>
      </c>
      <c r="G17" s="5" t="s">
        <v>93</v>
      </c>
      <c r="H17" s="5" t="s">
        <v>94</v>
      </c>
      <c r="I17" s="11"/>
      <c r="J17" s="6"/>
    </row>
    <row r="18" customFormat="false" ht="42" hidden="false" customHeight="true" outlineLevel="0" collapsed="false">
      <c r="A18" s="9" t="s">
        <v>95</v>
      </c>
      <c r="B18" s="5" t="s">
        <v>89</v>
      </c>
      <c r="C18" s="10" t="s">
        <v>96</v>
      </c>
      <c r="D18" s="9" t="s">
        <v>71</v>
      </c>
      <c r="E18" s="5" t="s">
        <v>97</v>
      </c>
      <c r="F18" s="5" t="s">
        <v>98</v>
      </c>
      <c r="G18" s="5" t="s">
        <v>99</v>
      </c>
      <c r="H18" s="5" t="s">
        <v>100</v>
      </c>
      <c r="I18" s="11"/>
      <c r="J18" s="6"/>
    </row>
    <row r="19" customFormat="false" ht="42" hidden="false" customHeight="true" outlineLevel="0" collapsed="false">
      <c r="A19" s="9" t="s">
        <v>101</v>
      </c>
      <c r="B19" s="5" t="s">
        <v>89</v>
      </c>
      <c r="C19" s="10" t="s">
        <v>102</v>
      </c>
      <c r="D19" s="9" t="s">
        <v>71</v>
      </c>
      <c r="E19" s="5" t="s">
        <v>103</v>
      </c>
      <c r="F19" s="5" t="s">
        <v>104</v>
      </c>
      <c r="G19" s="5" t="s">
        <v>105</v>
      </c>
      <c r="H19" s="5" t="s">
        <v>106</v>
      </c>
      <c r="I19" s="11"/>
      <c r="J19" s="6"/>
    </row>
    <row r="20" customFormat="false" ht="42" hidden="false" customHeight="true" outlineLevel="0" collapsed="false">
      <c r="A20" s="9" t="s">
        <v>107</v>
      </c>
      <c r="B20" s="5" t="s">
        <v>108</v>
      </c>
      <c r="C20" s="10" t="s">
        <v>109</v>
      </c>
      <c r="D20" s="9" t="s">
        <v>71</v>
      </c>
      <c r="E20" s="5" t="s">
        <v>110</v>
      </c>
      <c r="F20" s="5" t="s">
        <v>111</v>
      </c>
      <c r="G20" s="5" t="s">
        <v>112</v>
      </c>
      <c r="H20" s="5" t="s">
        <v>113</v>
      </c>
      <c r="I20" s="11"/>
      <c r="J20" s="6"/>
    </row>
    <row r="21" customFormat="false" ht="42" hidden="false" customHeight="true" outlineLevel="0" collapsed="false">
      <c r="A21" s="9" t="s">
        <v>114</v>
      </c>
      <c r="B21" s="5" t="s">
        <v>108</v>
      </c>
      <c r="C21" s="10" t="s">
        <v>115</v>
      </c>
      <c r="D21" s="9" t="s">
        <v>71</v>
      </c>
      <c r="E21" s="5" t="s">
        <v>116</v>
      </c>
      <c r="F21" s="5" t="s">
        <v>117</v>
      </c>
      <c r="G21" s="5" t="s">
        <v>118</v>
      </c>
      <c r="H21" s="5" t="s">
        <v>119</v>
      </c>
      <c r="I21" s="11"/>
      <c r="J21" s="6"/>
    </row>
    <row r="22" customFormat="false" ht="42" hidden="false" customHeight="true" outlineLevel="0" collapsed="false">
      <c r="A22" s="9" t="s">
        <v>120</v>
      </c>
      <c r="B22" s="5" t="s">
        <v>108</v>
      </c>
      <c r="C22" s="10" t="s">
        <v>121</v>
      </c>
      <c r="D22" s="9" t="s">
        <v>71</v>
      </c>
      <c r="E22" s="5" t="s">
        <v>122</v>
      </c>
      <c r="F22" s="5" t="s">
        <v>123</v>
      </c>
      <c r="G22" s="5" t="s">
        <v>124</v>
      </c>
      <c r="H22" s="5" t="s">
        <v>125</v>
      </c>
      <c r="I22" s="11"/>
      <c r="J22" s="6"/>
    </row>
    <row r="23" customFormat="false" ht="42" hidden="false" customHeight="true" outlineLevel="0" collapsed="false">
      <c r="A23" s="9" t="s">
        <v>126</v>
      </c>
      <c r="B23" s="5" t="s">
        <v>108</v>
      </c>
      <c r="C23" s="10" t="s">
        <v>127</v>
      </c>
      <c r="D23" s="9" t="s">
        <v>71</v>
      </c>
      <c r="E23" s="5" t="s">
        <v>128</v>
      </c>
      <c r="F23" s="5" t="s">
        <v>129</v>
      </c>
      <c r="G23" s="5" t="s">
        <v>130</v>
      </c>
      <c r="H23" s="5" t="s">
        <v>131</v>
      </c>
      <c r="I23" s="11"/>
      <c r="J23" s="6"/>
    </row>
    <row r="24" customFormat="false" ht="42" hidden="false" customHeight="true" outlineLevel="0" collapsed="false">
      <c r="A24" s="9" t="s">
        <v>132</v>
      </c>
      <c r="B24" s="5" t="s">
        <v>108</v>
      </c>
      <c r="C24" s="10" t="s">
        <v>133</v>
      </c>
      <c r="D24" s="9" t="s">
        <v>134</v>
      </c>
      <c r="E24" s="5" t="s">
        <v>135</v>
      </c>
      <c r="F24" s="5" t="s">
        <v>136</v>
      </c>
      <c r="G24" s="5" t="s">
        <v>137</v>
      </c>
      <c r="H24" s="5" t="s">
        <v>138</v>
      </c>
      <c r="I24" s="11"/>
      <c r="J24" s="6"/>
    </row>
    <row r="25" customFormat="false" ht="42" hidden="false" customHeight="true" outlineLevel="0" collapsed="false">
      <c r="A25" s="9" t="s">
        <v>139</v>
      </c>
      <c r="B25" s="5" t="s">
        <v>140</v>
      </c>
      <c r="C25" s="10" t="s">
        <v>141</v>
      </c>
      <c r="D25" s="9" t="s">
        <v>71</v>
      </c>
      <c r="E25" s="5" t="s">
        <v>142</v>
      </c>
      <c r="F25" s="5" t="s">
        <v>143</v>
      </c>
      <c r="G25" s="5" t="s">
        <v>144</v>
      </c>
      <c r="H25" s="5" t="s">
        <v>145</v>
      </c>
      <c r="I25" s="11"/>
      <c r="J25" s="6"/>
    </row>
    <row r="26" customFormat="false" ht="42" hidden="false" customHeight="true" outlineLevel="0" collapsed="false">
      <c r="A26" s="9" t="s">
        <v>146</v>
      </c>
      <c r="B26" s="5" t="s">
        <v>140</v>
      </c>
      <c r="C26" s="10" t="s">
        <v>147</v>
      </c>
      <c r="D26" s="9" t="s">
        <v>71</v>
      </c>
      <c r="E26" s="5" t="s">
        <v>148</v>
      </c>
      <c r="F26" s="5" t="s">
        <v>149</v>
      </c>
      <c r="G26" s="5" t="s">
        <v>150</v>
      </c>
      <c r="H26" s="5" t="s">
        <v>151</v>
      </c>
      <c r="I26" s="11"/>
      <c r="J26" s="6"/>
    </row>
    <row r="27" customFormat="false" ht="42" hidden="false" customHeight="true" outlineLevel="0" collapsed="false">
      <c r="A27" s="9" t="s">
        <v>152</v>
      </c>
      <c r="B27" s="5" t="s">
        <v>140</v>
      </c>
      <c r="C27" s="10" t="s">
        <v>153</v>
      </c>
      <c r="D27" s="9" t="s">
        <v>71</v>
      </c>
      <c r="E27" s="5" t="s">
        <v>154</v>
      </c>
      <c r="F27" s="5" t="s">
        <v>155</v>
      </c>
      <c r="G27" s="5" t="s">
        <v>156</v>
      </c>
      <c r="H27" s="5" t="s">
        <v>157</v>
      </c>
      <c r="I27" s="11"/>
      <c r="J27" s="6"/>
    </row>
    <row r="28" customFormat="false" ht="42" hidden="false" customHeight="true" outlineLevel="0" collapsed="false">
      <c r="A28" s="9" t="s">
        <v>158</v>
      </c>
      <c r="B28" s="5" t="s">
        <v>140</v>
      </c>
      <c r="C28" s="10" t="s">
        <v>159</v>
      </c>
      <c r="D28" s="9" t="s">
        <v>71</v>
      </c>
      <c r="E28" s="5" t="s">
        <v>160</v>
      </c>
      <c r="F28" s="5" t="s">
        <v>161</v>
      </c>
      <c r="G28" s="5" t="s">
        <v>162</v>
      </c>
      <c r="H28" s="5" t="s">
        <v>163</v>
      </c>
      <c r="I28" s="11"/>
      <c r="J28" s="6"/>
    </row>
    <row r="29" customFormat="false" ht="42" hidden="false" customHeight="true" outlineLevel="0" collapsed="false">
      <c r="A29" s="9" t="s">
        <v>164</v>
      </c>
      <c r="B29" s="5" t="s">
        <v>140</v>
      </c>
      <c r="C29" s="10" t="s">
        <v>165</v>
      </c>
      <c r="D29" s="9" t="s">
        <v>134</v>
      </c>
      <c r="E29" s="5" t="s">
        <v>166</v>
      </c>
      <c r="F29" s="5" t="s">
        <v>167</v>
      </c>
      <c r="G29" s="5" t="s">
        <v>168</v>
      </c>
      <c r="H29" s="5" t="s">
        <v>169</v>
      </c>
      <c r="I29" s="11"/>
      <c r="J29" s="6"/>
    </row>
    <row r="30" customFormat="false" ht="42" hidden="false" customHeight="true" outlineLevel="0" collapsed="false">
      <c r="A30" s="9" t="s">
        <v>170</v>
      </c>
      <c r="B30" s="5" t="s">
        <v>171</v>
      </c>
      <c r="C30" s="10" t="s">
        <v>172</v>
      </c>
      <c r="D30" s="9" t="s">
        <v>71</v>
      </c>
      <c r="E30" s="5" t="s">
        <v>173</v>
      </c>
      <c r="F30" s="5" t="s">
        <v>174</v>
      </c>
      <c r="G30" s="5" t="s">
        <v>175</v>
      </c>
      <c r="H30" s="5" t="s">
        <v>176</v>
      </c>
      <c r="I30" s="11"/>
      <c r="J30" s="6"/>
    </row>
    <row r="31" customFormat="false" ht="42" hidden="false" customHeight="true" outlineLevel="0" collapsed="false">
      <c r="A31" s="9" t="s">
        <v>177</v>
      </c>
      <c r="B31" s="5" t="s">
        <v>171</v>
      </c>
      <c r="C31" s="10" t="s">
        <v>178</v>
      </c>
      <c r="D31" s="9" t="s">
        <v>71</v>
      </c>
      <c r="E31" s="5" t="s">
        <v>179</v>
      </c>
      <c r="F31" s="5" t="s">
        <v>180</v>
      </c>
      <c r="G31" s="5" t="s">
        <v>181</v>
      </c>
      <c r="H31" s="5" t="s">
        <v>182</v>
      </c>
      <c r="I31" s="11"/>
      <c r="J31" s="6"/>
    </row>
    <row r="32" customFormat="false" ht="42" hidden="false" customHeight="true" outlineLevel="0" collapsed="false">
      <c r="A32" s="9" t="s">
        <v>183</v>
      </c>
      <c r="B32" s="5" t="s">
        <v>171</v>
      </c>
      <c r="C32" s="10" t="s">
        <v>184</v>
      </c>
      <c r="D32" s="9" t="s">
        <v>134</v>
      </c>
      <c r="E32" s="5" t="s">
        <v>185</v>
      </c>
      <c r="F32" s="5" t="s">
        <v>186</v>
      </c>
      <c r="G32" s="5" t="s">
        <v>187</v>
      </c>
      <c r="H32" s="5" t="s">
        <v>188</v>
      </c>
      <c r="I32" s="11"/>
      <c r="J32" s="6"/>
    </row>
    <row r="34" customFormat="false" ht="19.5" hidden="false" customHeight="true" outlineLevel="0" collapsed="false">
      <c r="A34" s="3" t="s">
        <v>189</v>
      </c>
      <c r="B34" s="3"/>
      <c r="C34" s="3"/>
      <c r="D34" s="3"/>
      <c r="E34" s="3"/>
      <c r="F34" s="3"/>
      <c r="G34" s="3"/>
      <c r="H34" s="3"/>
      <c r="I34" s="3"/>
      <c r="J34" s="3"/>
    </row>
    <row r="35" customFormat="false" ht="15" hidden="false" customHeight="false" outlineLevel="0" collapsed="false">
      <c r="B35" s="8" t="s">
        <v>64</v>
      </c>
      <c r="C35" s="8" t="s">
        <v>190</v>
      </c>
      <c r="D35" s="8" t="s">
        <v>36</v>
      </c>
      <c r="E35" s="8" t="s">
        <v>191</v>
      </c>
      <c r="G35" s="12" t="s">
        <v>192</v>
      </c>
    </row>
    <row r="36" customFormat="false" ht="15" hidden="false" customHeight="true" outlineLevel="0" collapsed="false">
      <c r="B36" s="10" t="s">
        <v>193</v>
      </c>
      <c r="C36" s="13" t="str">
        <f aca="false">IF(COUNT(I14:I16)=0,"",MIN(I14:I16))</f>
        <v/>
      </c>
      <c r="D36" s="9" t="s">
        <v>194</v>
      </c>
      <c r="E36" s="9" t="s">
        <v>195</v>
      </c>
      <c r="G36" s="14" t="s">
        <v>196</v>
      </c>
      <c r="H36" s="14"/>
      <c r="I36" s="14"/>
      <c r="J36" s="14"/>
    </row>
    <row r="37" customFormat="false" ht="15" hidden="false" customHeight="true" outlineLevel="0" collapsed="false">
      <c r="B37" s="10" t="s">
        <v>89</v>
      </c>
      <c r="C37" s="15" t="str">
        <f aca="false">IFERROR(AVERAGEIFS($I$14:$I$32,$B$14:$B$32,B37),"")</f>
        <v/>
      </c>
      <c r="D37" s="16" t="n">
        <v>0.3</v>
      </c>
      <c r="E37" s="15" t="str">
        <f aca="false">IF(ISNUMBER(C37),C37*D37,"")</f>
        <v/>
      </c>
      <c r="G37" s="14" t="s">
        <v>197</v>
      </c>
      <c r="H37" s="14"/>
      <c r="I37" s="14"/>
      <c r="J37" s="14"/>
    </row>
    <row r="38" customFormat="false" ht="15" hidden="false" customHeight="true" outlineLevel="0" collapsed="false">
      <c r="B38" s="10" t="s">
        <v>108</v>
      </c>
      <c r="C38" s="15" t="str">
        <f aca="false">IFERROR(AVERAGEIFS($I$14:$I$32,$B$14:$B$32,B38),"")</f>
        <v/>
      </c>
      <c r="D38" s="16" t="n">
        <v>0.25</v>
      </c>
      <c r="E38" s="15" t="str">
        <f aca="false">IF(ISNUMBER(C38),C38*D38,"")</f>
        <v/>
      </c>
      <c r="G38" s="14" t="s">
        <v>198</v>
      </c>
      <c r="H38" s="14"/>
      <c r="I38" s="14"/>
      <c r="J38" s="14"/>
    </row>
    <row r="39" customFormat="false" ht="15" hidden="false" customHeight="true" outlineLevel="0" collapsed="false">
      <c r="B39" s="10" t="s">
        <v>140</v>
      </c>
      <c r="C39" s="15" t="str">
        <f aca="false">IFERROR(AVERAGEIFS($I$14:$I$32,$B$14:$B$32,B39),"")</f>
        <v/>
      </c>
      <c r="D39" s="16" t="n">
        <v>0.25</v>
      </c>
      <c r="E39" s="15" t="str">
        <f aca="false">IF(ISNUMBER(C39),C39*D39,"")</f>
        <v/>
      </c>
      <c r="G39" s="14" t="s">
        <v>199</v>
      </c>
      <c r="H39" s="14"/>
      <c r="I39" s="14"/>
      <c r="J39" s="14"/>
    </row>
    <row r="40" customFormat="false" ht="15" hidden="false" customHeight="true" outlineLevel="0" collapsed="false">
      <c r="B40" s="10" t="s">
        <v>171</v>
      </c>
      <c r="C40" s="15" t="str">
        <f aca="false">IFERROR(AVERAGEIFS($I$14:$I$32,$B$14:$B$32,B40),"")</f>
        <v/>
      </c>
      <c r="D40" s="16" t="n">
        <v>0.2</v>
      </c>
      <c r="E40" s="15" t="str">
        <f aca="false">IF(ISNUMBER(C40),C40*D40,"")</f>
        <v/>
      </c>
      <c r="G40" s="14" t="s">
        <v>200</v>
      </c>
      <c r="H40" s="14"/>
      <c r="I40" s="14"/>
      <c r="J40" s="14"/>
    </row>
    <row r="41" customFormat="false" ht="15" hidden="false" customHeight="false" outlineLevel="0" collapsed="false">
      <c r="B41" s="4" t="s">
        <v>201</v>
      </c>
      <c r="C41" s="17" t="str">
        <f aca="false">IFERROR(SUM(E37:E40)/SUMPRODUCT(--ISNUMBER(C37:C40),D37:D40),"")</f>
        <v/>
      </c>
      <c r="D41" s="18" t="n">
        <f aca="false">SUM(D37:D40)</f>
        <v>1</v>
      </c>
      <c r="E41" s="19"/>
    </row>
    <row r="42" customFormat="false" ht="15" hidden="false" customHeight="false" outlineLevel="0" collapsed="false">
      <c r="B42" s="10" t="s">
        <v>202</v>
      </c>
      <c r="C42" s="9" t="n">
        <f aca="false">COUNTIFS($B$14:$B$32,"&lt;&gt;Sécurité",$I$14:$I$32,"&lt;3")</f>
        <v>0</v>
      </c>
    </row>
    <row r="43" customFormat="false" ht="15" hidden="false" customHeight="false" outlineLevel="0" collapsed="false">
      <c r="B43" s="10" t="s">
        <v>203</v>
      </c>
      <c r="C43" s="9" t="n">
        <f aca="false">COUNTIFS($B$14:$B$32,"&lt;&gt;Sécurité",$I$14:$I$32,1)</f>
        <v>0</v>
      </c>
    </row>
    <row r="44" customFormat="false" ht="15" hidden="false" customHeight="false" outlineLevel="0" collapsed="false">
      <c r="B44" s="20" t="s">
        <v>204</v>
      </c>
      <c r="C44" s="21" t="str">
        <f aca="false">IF(COUNT($I$14:$I$32)=0,"",IF(C36&lt;4,"Alerte : point sécurité à reprendre avant tout",IF(C42=0,"Niveau attendu atteint",IF(AND(C42&lt;=2,C43=0),"Plan de progrès ciblé sur 2 à 4 semaines","Alerte : point avec les RH"))))</f>
        <v/>
      </c>
      <c r="D44" s="21"/>
      <c r="E44" s="21"/>
    </row>
    <row r="45" customFormat="false" ht="15" hidden="false" customHeight="false" outlineLevel="0" collapsed="false">
      <c r="B45" s="20" t="s">
        <v>205</v>
      </c>
      <c r="C45" s="9" t="str">
        <f aca="false">IF(AND(C44="Niveau attendu atteint",ISNUMBER(C41)),IF(C41&gt;=3.5,"À étudier pour le niveau supérieur","Consolider le niveau actuel"),"")</f>
        <v/>
      </c>
      <c r="D45" s="9"/>
      <c r="E45" s="9"/>
    </row>
    <row r="47" customFormat="false" ht="19.5" hidden="false" customHeight="true" outlineLevel="0" collapsed="false">
      <c r="A47" s="3" t="s">
        <v>206</v>
      </c>
      <c r="B47" s="3"/>
      <c r="C47" s="3"/>
      <c r="D47" s="3"/>
      <c r="E47" s="3"/>
      <c r="F47" s="3"/>
      <c r="G47" s="3"/>
      <c r="H47" s="3"/>
      <c r="I47" s="3"/>
      <c r="J47" s="3"/>
    </row>
    <row r="48" customFormat="false" ht="15" hidden="false" customHeight="true" outlineLevel="0" collapsed="false">
      <c r="A48" s="8" t="s">
        <v>207</v>
      </c>
      <c r="B48" s="8" t="s">
        <v>208</v>
      </c>
      <c r="C48" s="8" t="s">
        <v>209</v>
      </c>
      <c r="D48" s="8" t="s">
        <v>210</v>
      </c>
      <c r="E48" s="8" t="s">
        <v>211</v>
      </c>
      <c r="F48" s="8" t="s">
        <v>212</v>
      </c>
      <c r="G48" s="8" t="s">
        <v>213</v>
      </c>
      <c r="H48" s="8"/>
      <c r="I48" s="8"/>
      <c r="J48" s="8"/>
    </row>
    <row r="49" customFormat="false" ht="15" hidden="false" customHeight="false" outlineLevel="0" collapsed="false">
      <c r="A49" s="9" t="n">
        <v>1</v>
      </c>
      <c r="B49" s="6"/>
      <c r="C49" s="6"/>
      <c r="D49" s="6"/>
      <c r="E49" s="7"/>
      <c r="F49" s="6"/>
      <c r="G49" s="6"/>
      <c r="H49" s="6"/>
      <c r="I49" s="6"/>
      <c r="J49" s="6"/>
    </row>
    <row r="50" customFormat="false" ht="15" hidden="false" customHeight="false" outlineLevel="0" collapsed="false">
      <c r="A50" s="9" t="n">
        <v>2</v>
      </c>
      <c r="B50" s="6"/>
      <c r="C50" s="6"/>
      <c r="D50" s="6"/>
      <c r="E50" s="7"/>
      <c r="F50" s="6"/>
      <c r="G50" s="6"/>
      <c r="H50" s="6"/>
      <c r="I50" s="6"/>
      <c r="J50" s="6"/>
    </row>
    <row r="51" customFormat="false" ht="15" hidden="false" customHeight="false" outlineLevel="0" collapsed="false">
      <c r="A51" s="9" t="n">
        <v>3</v>
      </c>
      <c r="B51" s="6"/>
      <c r="C51" s="6"/>
      <c r="D51" s="6"/>
      <c r="E51" s="7"/>
      <c r="F51" s="6"/>
      <c r="G51" s="6"/>
      <c r="H51" s="6"/>
      <c r="I51" s="6"/>
      <c r="J51" s="6"/>
    </row>
    <row r="53" customFormat="false" ht="19.5" hidden="false" customHeight="true" outlineLevel="0" collapsed="false">
      <c r="A53" s="3" t="s">
        <v>214</v>
      </c>
      <c r="B53" s="3"/>
      <c r="C53" s="3"/>
      <c r="D53" s="3"/>
      <c r="E53" s="3"/>
      <c r="F53" s="3"/>
      <c r="G53" s="3"/>
      <c r="H53" s="3"/>
      <c r="I53" s="3"/>
      <c r="J53" s="3"/>
    </row>
    <row r="54" customFormat="false" ht="15" hidden="false" customHeight="true" outlineLevel="0" collapsed="false">
      <c r="A54" s="8" t="s">
        <v>207</v>
      </c>
      <c r="B54" s="8" t="s">
        <v>215</v>
      </c>
      <c r="C54" s="8" t="s">
        <v>216</v>
      </c>
      <c r="D54" s="8" t="s">
        <v>217</v>
      </c>
      <c r="E54" s="8" t="s">
        <v>211</v>
      </c>
      <c r="F54" s="8" t="s">
        <v>218</v>
      </c>
      <c r="G54" s="8"/>
      <c r="H54" s="8"/>
      <c r="I54" s="8"/>
      <c r="J54" s="8"/>
    </row>
    <row r="55" customFormat="false" ht="15" hidden="false" customHeight="false" outlineLevel="0" collapsed="false">
      <c r="A55" s="9" t="n">
        <v>1</v>
      </c>
      <c r="B55" s="6"/>
      <c r="C55" s="6"/>
      <c r="D55" s="6"/>
      <c r="E55" s="7"/>
      <c r="F55" s="6"/>
      <c r="G55" s="6"/>
      <c r="H55" s="6"/>
      <c r="I55" s="6"/>
      <c r="J55" s="6"/>
    </row>
    <row r="56" customFormat="false" ht="15" hidden="false" customHeight="false" outlineLevel="0" collapsed="false">
      <c r="A56" s="9" t="n">
        <v>2</v>
      </c>
      <c r="B56" s="6"/>
      <c r="C56" s="6"/>
      <c r="D56" s="6"/>
      <c r="E56" s="7"/>
      <c r="F56" s="6"/>
      <c r="G56" s="6"/>
      <c r="H56" s="6"/>
      <c r="I56" s="6"/>
      <c r="J56" s="6"/>
    </row>
    <row r="57" customFormat="false" ht="15" hidden="false" customHeight="false" outlineLevel="0" collapsed="false">
      <c r="A57" s="9" t="n">
        <v>3</v>
      </c>
      <c r="B57" s="6"/>
      <c r="C57" s="6"/>
      <c r="D57" s="6"/>
      <c r="E57" s="7"/>
      <c r="F57" s="6"/>
      <c r="G57" s="6"/>
      <c r="H57" s="6"/>
      <c r="I57" s="6"/>
      <c r="J57" s="6"/>
    </row>
    <row r="59" customFormat="false" ht="19.5" hidden="false" customHeight="true" outlineLevel="0" collapsed="false">
      <c r="A59" s="3" t="s">
        <v>219</v>
      </c>
      <c r="B59" s="3"/>
      <c r="C59" s="3"/>
      <c r="D59" s="3"/>
      <c r="E59" s="3"/>
      <c r="F59" s="3"/>
      <c r="G59" s="3"/>
      <c r="H59" s="3"/>
      <c r="I59" s="3"/>
      <c r="J59" s="3"/>
    </row>
    <row r="60" customFormat="false" ht="45" hidden="false" customHeight="true" outlineLevel="0" collapsed="false">
      <c r="B60" s="4" t="s">
        <v>220</v>
      </c>
      <c r="C60" s="6"/>
      <c r="D60" s="6"/>
      <c r="E60" s="6"/>
      <c r="F60" s="6"/>
      <c r="G60" s="6"/>
      <c r="H60" s="6"/>
      <c r="I60" s="6"/>
      <c r="J60" s="6"/>
    </row>
    <row r="61" customFormat="false" ht="45" hidden="false" customHeight="true" outlineLevel="0" collapsed="false">
      <c r="B61" s="4" t="s">
        <v>221</v>
      </c>
      <c r="C61" s="6"/>
      <c r="D61" s="6"/>
      <c r="E61" s="6"/>
      <c r="F61" s="6"/>
      <c r="G61" s="6"/>
      <c r="H61" s="6"/>
      <c r="I61" s="6"/>
      <c r="J61" s="6"/>
    </row>
    <row r="63" customFormat="false" ht="34.5" hidden="false" customHeight="true" outlineLevel="0" collapsed="false">
      <c r="B63" s="4" t="s">
        <v>222</v>
      </c>
      <c r="C63" s="6"/>
      <c r="D63" s="6"/>
      <c r="E63" s="6"/>
      <c r="F63" s="4" t="s">
        <v>223</v>
      </c>
      <c r="G63" s="6"/>
      <c r="H63" s="6"/>
      <c r="I63" s="6"/>
      <c r="J63" s="6"/>
    </row>
  </sheetData>
  <mergeCells count="31">
    <mergeCell ref="A4:J4"/>
    <mergeCell ref="C5:D5"/>
    <mergeCell ref="C6:D6"/>
    <mergeCell ref="C7:D7"/>
    <mergeCell ref="C8:D8"/>
    <mergeCell ref="C9:D9"/>
    <mergeCell ref="C10:D10"/>
    <mergeCell ref="A12:J12"/>
    <mergeCell ref="A34:J34"/>
    <mergeCell ref="G36:J36"/>
    <mergeCell ref="G37:J37"/>
    <mergeCell ref="G38:J38"/>
    <mergeCell ref="G39:J39"/>
    <mergeCell ref="G40:J40"/>
    <mergeCell ref="C44:E44"/>
    <mergeCell ref="C45:E45"/>
    <mergeCell ref="A47:J47"/>
    <mergeCell ref="G48:J48"/>
    <mergeCell ref="G49:J49"/>
    <mergeCell ref="G50:J50"/>
    <mergeCell ref="G51:J51"/>
    <mergeCell ref="A53:J53"/>
    <mergeCell ref="F54:J54"/>
    <mergeCell ref="F55:J55"/>
    <mergeCell ref="F56:J56"/>
    <mergeCell ref="F57:J57"/>
    <mergeCell ref="A59:J59"/>
    <mergeCell ref="C60:J60"/>
    <mergeCell ref="C61:J61"/>
    <mergeCell ref="C63:E63"/>
    <mergeCell ref="G63:J63"/>
  </mergeCells>
  <conditionalFormatting sqref="I14:I32">
    <cfRule type="cellIs" priority="2" operator="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2</formula>
    </cfRule>
    <cfRule type="cellIs" priority="4" operator="equal" aboveAverage="0" equalAverage="0" bottom="0" percent="0" rank="0" text="" dxfId="2">
      <formula>3</formula>
    </cfRule>
    <cfRule type="cellIs" priority="5" operator="equal" aboveAverage="0" equalAverage="0" bottom="0" percent="0" rank="0" text="" dxfId="3">
      <formula>4</formula>
    </cfRule>
  </conditionalFormatting>
  <conditionalFormatting sqref="C44">
    <cfRule type="expression" priority="6" aboveAverage="0" equalAverage="0" bottom="0" percent="0" rank="0" text="" dxfId="0">
      <formula>LEFT(C44,6)="Alerte"</formula>
    </cfRule>
    <cfRule type="expression" priority="7" aboveAverage="0" equalAverage="0" bottom="0" percent="0" rank="0" text="" dxfId="1">
      <formula>LEFT(C44,4)="Plan"</formula>
    </cfRule>
    <cfRule type="expression" priority="8" aboveAverage="0" equalAverage="0" bottom="0" percent="0" rank="0" text="" dxfId="2">
      <formula>OR(LEFT(C44,6)="Niveau",LEFT(C44,8)="Attentes",LEFT(C44,6)="Au-del")</formula>
    </cfRule>
  </conditionalFormatting>
  <dataValidations count="4">
    <dataValidation allowBlank="true" errorStyle="stop" operator="between" showDropDown="false" showErrorMessage="false" showInputMessage="false" sqref="C6" type="list">
      <formula1>"1. Préparateur,2. Préparateur confirmé,3. Tuteur ou référent de zone"</formula1>
      <formula2>0</formula2>
    </dataValidation>
    <dataValidation allowBlank="true" errorStyle="stop" operator="between" showDropDown="false" showErrorMessage="false" showInputMessage="false" sqref="I14:I32" type="list">
      <formula1>"1,2,3,4,N/A"</formula1>
      <formula2>0</formula2>
    </dataValidation>
    <dataValidation allowBlank="true" errorStyle="stop" operator="between" showDropDown="false" showErrorMessage="false" showInputMessage="false" sqref="F49:F51" type="list">
      <formula1>"Atteint,Partiellement atteint,Non atteint"</formula1>
      <formula2>0</formula2>
    </dataValidation>
    <dataValidation allowBlank="true" errorStyle="stop" operator="between" showDropDown="false" showErrorMessage="false" showInputMessage="false" sqref="C55:C57" type="list">
      <formula1>"Formation,Tutorat,Mission,Changement de poste,Autre"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J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8" min="5" style="0" width="26"/>
    <col collapsed="false" customWidth="true" hidden="false" outlineLevel="0" max="9" min="9" style="0" width="9"/>
    <col collapsed="false" customWidth="true" hidden="false" outlineLevel="0" max="10" min="10" style="0" width="36"/>
  </cols>
  <sheetData>
    <row r="1" customFormat="false" ht="19.7" hidden="false" customHeight="false" outlineLevel="0" collapsed="false">
      <c r="A1" s="1" t="s">
        <v>224</v>
      </c>
    </row>
    <row r="2" customFormat="false" ht="15" hidden="false" customHeight="false" outlineLevel="0" collapsed="false">
      <c r="A2" s="2" t="s">
        <v>225</v>
      </c>
    </row>
    <row r="4" customFormat="false" ht="19.5" hidden="false" customHeight="true" outlineLevel="0" collapsed="false">
      <c r="A4" s="3" t="s">
        <v>55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B5" s="4" t="s">
        <v>56</v>
      </c>
      <c r="C5" s="6"/>
      <c r="D5" s="6"/>
    </row>
    <row r="6" customFormat="false" ht="15" hidden="false" customHeight="false" outlineLevel="0" collapsed="false">
      <c r="B6" s="4" t="s">
        <v>57</v>
      </c>
      <c r="C6" s="6"/>
      <c r="D6" s="6"/>
    </row>
    <row r="7" customFormat="false" ht="15" hidden="false" customHeight="false" outlineLevel="0" collapsed="false">
      <c r="B7" s="4" t="s">
        <v>58</v>
      </c>
      <c r="C7" s="6"/>
      <c r="D7" s="6"/>
    </row>
    <row r="8" customFormat="false" ht="15" hidden="false" customHeight="false" outlineLevel="0" collapsed="false">
      <c r="B8" s="4" t="s">
        <v>59</v>
      </c>
      <c r="C8" s="6"/>
      <c r="D8" s="6"/>
    </row>
    <row r="9" customFormat="false" ht="15" hidden="false" customHeight="false" outlineLevel="0" collapsed="false">
      <c r="B9" s="4" t="s">
        <v>60</v>
      </c>
      <c r="C9" s="7"/>
      <c r="D9" s="7"/>
    </row>
    <row r="10" customFormat="false" ht="15" hidden="false" customHeight="false" outlineLevel="0" collapsed="false">
      <c r="B10" s="4" t="s">
        <v>61</v>
      </c>
      <c r="C10" s="6"/>
      <c r="D10" s="6"/>
    </row>
    <row r="12" customFormat="false" ht="19.5" hidden="false" customHeight="true" outlineLevel="0" collapsed="false">
      <c r="A12" s="3" t="s">
        <v>226</v>
      </c>
      <c r="B12" s="3"/>
      <c r="C12" s="3"/>
      <c r="D12" s="3"/>
      <c r="E12" s="3"/>
      <c r="F12" s="3"/>
      <c r="G12" s="3"/>
      <c r="H12" s="3"/>
      <c r="I12" s="3"/>
      <c r="J12" s="3"/>
    </row>
    <row r="13" customFormat="false" ht="15" hidden="false" customHeight="false" outlineLevel="0" collapsed="false">
      <c r="A13" s="8" t="s">
        <v>63</v>
      </c>
      <c r="B13" s="8" t="s">
        <v>227</v>
      </c>
      <c r="C13" s="8" t="s">
        <v>209</v>
      </c>
      <c r="D13" s="8" t="s">
        <v>228</v>
      </c>
      <c r="E13" s="8" t="s">
        <v>229</v>
      </c>
      <c r="F13" s="8" t="s">
        <v>210</v>
      </c>
      <c r="G13" s="8" t="s">
        <v>230</v>
      </c>
      <c r="H13" s="8" t="s">
        <v>231</v>
      </c>
      <c r="I13" s="8" t="s">
        <v>67</v>
      </c>
      <c r="J13" s="8" t="s">
        <v>232</v>
      </c>
    </row>
    <row r="14" customFormat="false" ht="30" hidden="false" customHeight="true" outlineLevel="0" collapsed="false">
      <c r="A14" s="9" t="s">
        <v>233</v>
      </c>
      <c r="B14" s="5" t="s">
        <v>38</v>
      </c>
      <c r="C14" s="10" t="s">
        <v>234</v>
      </c>
      <c r="D14" s="9" t="s">
        <v>235</v>
      </c>
      <c r="E14" s="9" t="s">
        <v>236</v>
      </c>
      <c r="F14" s="22"/>
      <c r="G14" s="22"/>
      <c r="H14" s="23" t="str">
        <f aca="false">IF(AND(ISNUMBER(F14),ISNUMBER(G14)),G14-F14,"")</f>
        <v/>
      </c>
      <c r="I14" s="11"/>
      <c r="J14" s="6"/>
    </row>
    <row r="15" customFormat="false" ht="30" hidden="false" customHeight="true" outlineLevel="0" collapsed="false">
      <c r="A15" s="9" t="s">
        <v>237</v>
      </c>
      <c r="B15" s="5" t="s">
        <v>38</v>
      </c>
      <c r="C15" s="10" t="s">
        <v>238</v>
      </c>
      <c r="D15" s="9" t="s">
        <v>235</v>
      </c>
      <c r="E15" s="9" t="s">
        <v>239</v>
      </c>
      <c r="F15" s="22"/>
      <c r="G15" s="22"/>
      <c r="H15" s="23" t="str">
        <f aca="false">IF(AND(ISNUMBER(F15),ISNUMBER(G15)),G15-F15,"")</f>
        <v/>
      </c>
      <c r="I15" s="11"/>
      <c r="J15" s="6"/>
    </row>
    <row r="16" customFormat="false" ht="30" hidden="false" customHeight="true" outlineLevel="0" collapsed="false">
      <c r="A16" s="9" t="s">
        <v>240</v>
      </c>
      <c r="B16" s="5" t="s">
        <v>38</v>
      </c>
      <c r="C16" s="10" t="s">
        <v>241</v>
      </c>
      <c r="D16" s="9" t="s">
        <v>235</v>
      </c>
      <c r="E16" s="9" t="s">
        <v>239</v>
      </c>
      <c r="F16" s="22"/>
      <c r="G16" s="22"/>
      <c r="H16" s="23" t="str">
        <f aca="false">IF(AND(ISNUMBER(F16),ISNUMBER(G16)),G16-F16,"")</f>
        <v/>
      </c>
      <c r="I16" s="11"/>
      <c r="J16" s="6"/>
    </row>
    <row r="17" customFormat="false" ht="30" hidden="false" customHeight="true" outlineLevel="0" collapsed="false">
      <c r="A17" s="9" t="s">
        <v>242</v>
      </c>
      <c r="B17" s="5" t="s">
        <v>243</v>
      </c>
      <c r="C17" s="10" t="s">
        <v>244</v>
      </c>
      <c r="D17" s="9" t="s">
        <v>245</v>
      </c>
      <c r="E17" s="9" t="s">
        <v>239</v>
      </c>
      <c r="F17" s="24"/>
      <c r="G17" s="24"/>
      <c r="H17" s="25" t="str">
        <f aca="false">IF(AND(ISNUMBER(F17),ISNUMBER(G17)),G17-F17,"")</f>
        <v/>
      </c>
      <c r="I17" s="11"/>
      <c r="J17" s="6"/>
    </row>
    <row r="18" customFormat="false" ht="30" hidden="false" customHeight="true" outlineLevel="0" collapsed="false">
      <c r="A18" s="9" t="s">
        <v>246</v>
      </c>
      <c r="B18" s="5" t="s">
        <v>243</v>
      </c>
      <c r="C18" s="10" t="s">
        <v>247</v>
      </c>
      <c r="D18" s="9" t="s">
        <v>245</v>
      </c>
      <c r="E18" s="9" t="s">
        <v>236</v>
      </c>
      <c r="F18" s="26"/>
      <c r="G18" s="26"/>
      <c r="H18" s="27" t="str">
        <f aca="false">IF(AND(ISNUMBER(F18),ISNUMBER(G18)),G18-F18,"")</f>
        <v/>
      </c>
      <c r="I18" s="11"/>
      <c r="J18" s="6"/>
    </row>
    <row r="19" customFormat="false" ht="30" hidden="false" customHeight="true" outlineLevel="0" collapsed="false">
      <c r="A19" s="9" t="s">
        <v>248</v>
      </c>
      <c r="B19" s="5" t="s">
        <v>243</v>
      </c>
      <c r="C19" s="10" t="s">
        <v>249</v>
      </c>
      <c r="D19" s="9" t="s">
        <v>245</v>
      </c>
      <c r="E19" s="9" t="s">
        <v>236</v>
      </c>
      <c r="F19" s="24"/>
      <c r="G19" s="24"/>
      <c r="H19" s="25" t="str">
        <f aca="false">IF(AND(ISNUMBER(F19),ISNUMBER(G19)),G19-F19,"")</f>
        <v/>
      </c>
      <c r="I19" s="11"/>
      <c r="J19" s="6"/>
    </row>
    <row r="20" customFormat="false" ht="30" hidden="false" customHeight="true" outlineLevel="0" collapsed="false">
      <c r="A20" s="9" t="s">
        <v>250</v>
      </c>
      <c r="B20" s="5" t="s">
        <v>251</v>
      </c>
      <c r="C20" s="10" t="s">
        <v>252</v>
      </c>
      <c r="D20" s="9" t="s">
        <v>253</v>
      </c>
      <c r="E20" s="9" t="s">
        <v>239</v>
      </c>
      <c r="F20" s="16"/>
      <c r="G20" s="16"/>
      <c r="H20" s="28" t="str">
        <f aca="false">IF(AND(ISNUMBER(F20),ISNUMBER(G20)),G20-F20,"")</f>
        <v/>
      </c>
      <c r="I20" s="11"/>
      <c r="J20" s="6"/>
    </row>
    <row r="21" customFormat="false" ht="30" hidden="false" customHeight="true" outlineLevel="0" collapsed="false">
      <c r="A21" s="9" t="s">
        <v>254</v>
      </c>
      <c r="B21" s="5" t="s">
        <v>251</v>
      </c>
      <c r="C21" s="10" t="s">
        <v>255</v>
      </c>
      <c r="D21" s="9" t="s">
        <v>245</v>
      </c>
      <c r="E21" s="9" t="s">
        <v>239</v>
      </c>
      <c r="F21" s="24"/>
      <c r="G21" s="24"/>
      <c r="H21" s="25" t="str">
        <f aca="false">IF(AND(ISNUMBER(F21),ISNUMBER(G21)),G21-F21,"")</f>
        <v/>
      </c>
      <c r="I21" s="11"/>
      <c r="J21" s="6"/>
    </row>
    <row r="22" customFormat="false" ht="30" hidden="false" customHeight="true" outlineLevel="0" collapsed="false">
      <c r="A22" s="9" t="s">
        <v>256</v>
      </c>
      <c r="B22" s="5" t="s">
        <v>251</v>
      </c>
      <c r="C22" s="10" t="s">
        <v>257</v>
      </c>
      <c r="D22" s="9" t="s">
        <v>258</v>
      </c>
      <c r="E22" s="9" t="s">
        <v>236</v>
      </c>
      <c r="F22" s="22"/>
      <c r="G22" s="22"/>
      <c r="H22" s="23" t="str">
        <f aca="false">IF(AND(ISNUMBER(F22),ISNUMBER(G22)),G22-F22,"")</f>
        <v/>
      </c>
      <c r="I22" s="11"/>
      <c r="J22" s="6"/>
    </row>
    <row r="23" customFormat="false" ht="30" hidden="false" customHeight="true" outlineLevel="0" collapsed="false">
      <c r="A23" s="9" t="s">
        <v>259</v>
      </c>
      <c r="B23" s="5" t="s">
        <v>260</v>
      </c>
      <c r="C23" s="10" t="s">
        <v>261</v>
      </c>
      <c r="D23" s="9" t="s">
        <v>245</v>
      </c>
      <c r="E23" s="9" t="s">
        <v>239</v>
      </c>
      <c r="F23" s="16"/>
      <c r="G23" s="16"/>
      <c r="H23" s="28" t="str">
        <f aca="false">IF(AND(ISNUMBER(F23),ISNUMBER(G23)),G23-F23,"")</f>
        <v/>
      </c>
      <c r="I23" s="11"/>
      <c r="J23" s="6"/>
    </row>
    <row r="24" customFormat="false" ht="30" hidden="false" customHeight="true" outlineLevel="0" collapsed="false">
      <c r="A24" s="9" t="s">
        <v>262</v>
      </c>
      <c r="B24" s="5" t="s">
        <v>260</v>
      </c>
      <c r="C24" s="10" t="s">
        <v>263</v>
      </c>
      <c r="D24" s="9" t="s">
        <v>245</v>
      </c>
      <c r="E24" s="9" t="s">
        <v>236</v>
      </c>
      <c r="F24" s="24"/>
      <c r="G24" s="24"/>
      <c r="H24" s="25" t="str">
        <f aca="false">IF(AND(ISNUMBER(F24),ISNUMBER(G24)),G24-F24,"")</f>
        <v/>
      </c>
      <c r="I24" s="11"/>
      <c r="J24" s="6"/>
    </row>
    <row r="25" customFormat="false" ht="30" hidden="false" customHeight="true" outlineLevel="0" collapsed="false">
      <c r="A25" s="9" t="s">
        <v>264</v>
      </c>
      <c r="B25" s="5" t="s">
        <v>260</v>
      </c>
      <c r="C25" s="10" t="s">
        <v>265</v>
      </c>
      <c r="D25" s="9" t="s">
        <v>235</v>
      </c>
      <c r="E25" s="9" t="s">
        <v>236</v>
      </c>
      <c r="F25" s="22"/>
      <c r="G25" s="22"/>
      <c r="H25" s="23" t="str">
        <f aca="false">IF(AND(ISNUMBER(F25),ISNUMBER(G25)),G25-F25,"")</f>
        <v/>
      </c>
      <c r="I25" s="11"/>
      <c r="J25" s="6"/>
    </row>
    <row r="26" customFormat="false" ht="30" hidden="false" customHeight="true" outlineLevel="0" collapsed="false">
      <c r="A26" s="9" t="s">
        <v>266</v>
      </c>
      <c r="B26" s="5" t="s">
        <v>260</v>
      </c>
      <c r="C26" s="10" t="s">
        <v>267</v>
      </c>
      <c r="D26" s="9" t="s">
        <v>235</v>
      </c>
      <c r="E26" s="9" t="s">
        <v>239</v>
      </c>
      <c r="F26" s="22"/>
      <c r="G26" s="22"/>
      <c r="H26" s="23" t="str">
        <f aca="false">IF(AND(ISNUMBER(F26),ISNUMBER(G26)),G26-F26,"")</f>
        <v/>
      </c>
      <c r="I26" s="11"/>
      <c r="J26" s="6"/>
    </row>
    <row r="28" customFormat="false" ht="19.5" hidden="false" customHeight="true" outlineLevel="0" collapsed="false">
      <c r="A28" s="3" t="s">
        <v>268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" hidden="false" customHeight="true" outlineLevel="0" collapsed="false">
      <c r="A29" s="8" t="s">
        <v>63</v>
      </c>
      <c r="B29" s="8" t="s">
        <v>64</v>
      </c>
      <c r="C29" s="8" t="s">
        <v>65</v>
      </c>
      <c r="D29" s="8"/>
      <c r="E29" s="8" t="s">
        <v>25</v>
      </c>
      <c r="F29" s="8" t="s">
        <v>27</v>
      </c>
      <c r="G29" s="8" t="s">
        <v>29</v>
      </c>
      <c r="H29" s="8" t="s">
        <v>31</v>
      </c>
      <c r="I29" s="8" t="s">
        <v>67</v>
      </c>
      <c r="J29" s="8" t="s">
        <v>68</v>
      </c>
    </row>
    <row r="30" customFormat="false" ht="48" hidden="false" customHeight="true" outlineLevel="0" collapsed="false">
      <c r="A30" s="9" t="s">
        <v>269</v>
      </c>
      <c r="B30" s="5" t="s">
        <v>38</v>
      </c>
      <c r="C30" s="10" t="s">
        <v>270</v>
      </c>
      <c r="D30" s="10"/>
      <c r="E30" s="5" t="s">
        <v>271</v>
      </c>
      <c r="F30" s="5" t="s">
        <v>272</v>
      </c>
      <c r="G30" s="5" t="s">
        <v>273</v>
      </c>
      <c r="H30" s="5" t="s">
        <v>274</v>
      </c>
      <c r="I30" s="11"/>
      <c r="J30" s="6"/>
    </row>
    <row r="31" customFormat="false" ht="48" hidden="false" customHeight="true" outlineLevel="0" collapsed="false">
      <c r="A31" s="9" t="s">
        <v>275</v>
      </c>
      <c r="B31" s="5" t="s">
        <v>276</v>
      </c>
      <c r="C31" s="10" t="s">
        <v>277</v>
      </c>
      <c r="D31" s="10"/>
      <c r="E31" s="5" t="s">
        <v>278</v>
      </c>
      <c r="F31" s="5" t="s">
        <v>279</v>
      </c>
      <c r="G31" s="5" t="s">
        <v>280</v>
      </c>
      <c r="H31" s="5" t="s">
        <v>281</v>
      </c>
      <c r="I31" s="11"/>
      <c r="J31" s="6"/>
    </row>
    <row r="32" customFormat="false" ht="48" hidden="false" customHeight="true" outlineLevel="0" collapsed="false">
      <c r="A32" s="9" t="s">
        <v>282</v>
      </c>
      <c r="B32" s="5" t="s">
        <v>276</v>
      </c>
      <c r="C32" s="10" t="s">
        <v>283</v>
      </c>
      <c r="D32" s="10"/>
      <c r="E32" s="5" t="s">
        <v>284</v>
      </c>
      <c r="F32" s="5" t="s">
        <v>285</v>
      </c>
      <c r="G32" s="5" t="s">
        <v>286</v>
      </c>
      <c r="H32" s="5" t="s">
        <v>287</v>
      </c>
      <c r="I32" s="11"/>
      <c r="J32" s="6"/>
    </row>
    <row r="33" customFormat="false" ht="48" hidden="false" customHeight="true" outlineLevel="0" collapsed="false">
      <c r="A33" s="9" t="s">
        <v>288</v>
      </c>
      <c r="B33" s="5" t="s">
        <v>276</v>
      </c>
      <c r="C33" s="10" t="s">
        <v>289</v>
      </c>
      <c r="D33" s="10"/>
      <c r="E33" s="5" t="s">
        <v>290</v>
      </c>
      <c r="F33" s="5" t="s">
        <v>291</v>
      </c>
      <c r="G33" s="5" t="s">
        <v>292</v>
      </c>
      <c r="H33" s="5" t="s">
        <v>293</v>
      </c>
      <c r="I33" s="11"/>
      <c r="J33" s="6"/>
    </row>
    <row r="34" customFormat="false" ht="48" hidden="false" customHeight="true" outlineLevel="0" collapsed="false">
      <c r="A34" s="9" t="s">
        <v>294</v>
      </c>
      <c r="B34" s="5" t="s">
        <v>295</v>
      </c>
      <c r="C34" s="10" t="s">
        <v>296</v>
      </c>
      <c r="D34" s="10"/>
      <c r="E34" s="5" t="s">
        <v>297</v>
      </c>
      <c r="F34" s="5" t="s">
        <v>298</v>
      </c>
      <c r="G34" s="5" t="s">
        <v>299</v>
      </c>
      <c r="H34" s="5" t="s">
        <v>300</v>
      </c>
      <c r="I34" s="11"/>
      <c r="J34" s="6"/>
    </row>
    <row r="35" customFormat="false" ht="48" hidden="false" customHeight="true" outlineLevel="0" collapsed="false">
      <c r="A35" s="9" t="s">
        <v>301</v>
      </c>
      <c r="B35" s="5" t="s">
        <v>295</v>
      </c>
      <c r="C35" s="10" t="s">
        <v>302</v>
      </c>
      <c r="D35" s="10"/>
      <c r="E35" s="5" t="s">
        <v>303</v>
      </c>
      <c r="F35" s="5" t="s">
        <v>304</v>
      </c>
      <c r="G35" s="5" t="s">
        <v>305</v>
      </c>
      <c r="H35" s="5" t="s">
        <v>306</v>
      </c>
      <c r="I35" s="11"/>
      <c r="J35" s="6"/>
    </row>
    <row r="36" customFormat="false" ht="48" hidden="false" customHeight="true" outlineLevel="0" collapsed="false">
      <c r="A36" s="9" t="s">
        <v>307</v>
      </c>
      <c r="B36" s="5" t="s">
        <v>295</v>
      </c>
      <c r="C36" s="10" t="s">
        <v>308</v>
      </c>
      <c r="D36" s="10"/>
      <c r="E36" s="5" t="s">
        <v>309</v>
      </c>
      <c r="F36" s="5" t="s">
        <v>310</v>
      </c>
      <c r="G36" s="5" t="s">
        <v>311</v>
      </c>
      <c r="H36" s="5" t="s">
        <v>312</v>
      </c>
      <c r="I36" s="11"/>
      <c r="J36" s="6"/>
    </row>
    <row r="37" customFormat="false" ht="48" hidden="false" customHeight="true" outlineLevel="0" collapsed="false">
      <c r="A37" s="9" t="s">
        <v>313</v>
      </c>
      <c r="B37" s="5" t="s">
        <v>295</v>
      </c>
      <c r="C37" s="10" t="s">
        <v>314</v>
      </c>
      <c r="D37" s="10"/>
      <c r="E37" s="5" t="s">
        <v>315</v>
      </c>
      <c r="F37" s="5" t="s">
        <v>316</v>
      </c>
      <c r="G37" s="5" t="s">
        <v>317</v>
      </c>
      <c r="H37" s="5" t="s">
        <v>318</v>
      </c>
      <c r="I37" s="11"/>
      <c r="J37" s="6"/>
    </row>
    <row r="38" customFormat="false" ht="48" hidden="false" customHeight="true" outlineLevel="0" collapsed="false">
      <c r="A38" s="9" t="s">
        <v>319</v>
      </c>
      <c r="B38" s="5" t="s">
        <v>295</v>
      </c>
      <c r="C38" s="10" t="s">
        <v>320</v>
      </c>
      <c r="D38" s="10"/>
      <c r="E38" s="5" t="s">
        <v>321</v>
      </c>
      <c r="F38" s="5" t="s">
        <v>322</v>
      </c>
      <c r="G38" s="5" t="s">
        <v>323</v>
      </c>
      <c r="H38" s="5" t="s">
        <v>324</v>
      </c>
      <c r="I38" s="11"/>
      <c r="J38" s="6"/>
    </row>
    <row r="39" customFormat="false" ht="48" hidden="false" customHeight="true" outlineLevel="0" collapsed="false">
      <c r="A39" s="9" t="s">
        <v>325</v>
      </c>
      <c r="B39" s="5" t="s">
        <v>295</v>
      </c>
      <c r="C39" s="10" t="s">
        <v>326</v>
      </c>
      <c r="D39" s="10"/>
      <c r="E39" s="5" t="s">
        <v>327</v>
      </c>
      <c r="F39" s="5" t="s">
        <v>328</v>
      </c>
      <c r="G39" s="5" t="s">
        <v>329</v>
      </c>
      <c r="H39" s="5" t="s">
        <v>330</v>
      </c>
      <c r="I39" s="11"/>
      <c r="J39" s="6"/>
    </row>
    <row r="40" customFormat="false" ht="48" hidden="false" customHeight="true" outlineLevel="0" collapsed="false">
      <c r="A40" s="9" t="s">
        <v>331</v>
      </c>
      <c r="B40" s="5" t="s">
        <v>171</v>
      </c>
      <c r="C40" s="10" t="s">
        <v>332</v>
      </c>
      <c r="D40" s="10"/>
      <c r="E40" s="5" t="s">
        <v>333</v>
      </c>
      <c r="F40" s="5" t="s">
        <v>334</v>
      </c>
      <c r="G40" s="5" t="s">
        <v>335</v>
      </c>
      <c r="H40" s="5" t="s">
        <v>336</v>
      </c>
      <c r="I40" s="11"/>
      <c r="J40" s="6"/>
    </row>
    <row r="41" customFormat="false" ht="48" hidden="false" customHeight="true" outlineLevel="0" collapsed="false">
      <c r="A41" s="9" t="s">
        <v>337</v>
      </c>
      <c r="B41" s="5" t="s">
        <v>171</v>
      </c>
      <c r="C41" s="10" t="s">
        <v>338</v>
      </c>
      <c r="D41" s="10"/>
      <c r="E41" s="5" t="s">
        <v>339</v>
      </c>
      <c r="F41" s="5" t="s">
        <v>340</v>
      </c>
      <c r="G41" s="5" t="s">
        <v>341</v>
      </c>
      <c r="H41" s="5" t="s">
        <v>342</v>
      </c>
      <c r="I41" s="11"/>
      <c r="J41" s="6"/>
    </row>
    <row r="43" customFormat="false" ht="19.5" hidden="false" customHeight="true" outlineLevel="0" collapsed="false">
      <c r="A43" s="3" t="s">
        <v>343</v>
      </c>
      <c r="B43" s="3"/>
      <c r="C43" s="3"/>
      <c r="D43" s="3"/>
      <c r="E43" s="3"/>
      <c r="F43" s="3"/>
      <c r="G43" s="3"/>
      <c r="H43" s="3"/>
      <c r="I43" s="3"/>
      <c r="J43" s="3"/>
    </row>
    <row r="44" customFormat="false" ht="15" hidden="false" customHeight="true" outlineLevel="0" collapsed="false">
      <c r="A44" s="8" t="s">
        <v>63</v>
      </c>
      <c r="B44" s="8" t="s">
        <v>344</v>
      </c>
      <c r="C44" s="8"/>
      <c r="D44" s="8"/>
      <c r="E44" s="8"/>
      <c r="F44" s="8"/>
      <c r="G44" s="8"/>
      <c r="H44" s="8"/>
      <c r="I44" s="8" t="s">
        <v>345</v>
      </c>
      <c r="J44" s="8" t="s">
        <v>346</v>
      </c>
    </row>
    <row r="45" customFormat="false" ht="15" hidden="false" customHeight="true" outlineLevel="0" collapsed="false">
      <c r="A45" s="9" t="s">
        <v>88</v>
      </c>
      <c r="B45" s="5" t="s">
        <v>347</v>
      </c>
      <c r="C45" s="5"/>
      <c r="D45" s="5"/>
      <c r="E45" s="5"/>
      <c r="F45" s="5"/>
      <c r="G45" s="5"/>
      <c r="H45" s="5"/>
      <c r="I45" s="11"/>
      <c r="J45" s="6"/>
    </row>
    <row r="46" customFormat="false" ht="15" hidden="false" customHeight="true" outlineLevel="0" collapsed="false">
      <c r="A46" s="9" t="s">
        <v>95</v>
      </c>
      <c r="B46" s="5" t="s">
        <v>348</v>
      </c>
      <c r="C46" s="5"/>
      <c r="D46" s="5"/>
      <c r="E46" s="5"/>
      <c r="F46" s="5"/>
      <c r="G46" s="5"/>
      <c r="H46" s="5"/>
      <c r="I46" s="11"/>
      <c r="J46" s="6"/>
    </row>
    <row r="47" customFormat="false" ht="15" hidden="false" customHeight="true" outlineLevel="0" collapsed="false">
      <c r="A47" s="9" t="s">
        <v>101</v>
      </c>
      <c r="B47" s="5" t="s">
        <v>349</v>
      </c>
      <c r="C47" s="5"/>
      <c r="D47" s="5"/>
      <c r="E47" s="5"/>
      <c r="F47" s="5"/>
      <c r="G47" s="5"/>
      <c r="H47" s="5"/>
      <c r="I47" s="11"/>
      <c r="J47" s="6"/>
    </row>
    <row r="48" customFormat="false" ht="15" hidden="false" customHeight="true" outlineLevel="0" collapsed="false">
      <c r="A48" s="9" t="s">
        <v>350</v>
      </c>
      <c r="B48" s="5" t="s">
        <v>351</v>
      </c>
      <c r="C48" s="5"/>
      <c r="D48" s="5"/>
      <c r="E48" s="5"/>
      <c r="F48" s="5"/>
      <c r="G48" s="5"/>
      <c r="H48" s="5"/>
      <c r="I48" s="11"/>
      <c r="J48" s="6"/>
    </row>
    <row r="49" customFormat="false" ht="15" hidden="false" customHeight="true" outlineLevel="0" collapsed="false">
      <c r="A49" s="9" t="s">
        <v>352</v>
      </c>
      <c r="B49" s="5" t="s">
        <v>353</v>
      </c>
      <c r="C49" s="5"/>
      <c r="D49" s="5"/>
      <c r="E49" s="5"/>
      <c r="F49" s="5"/>
      <c r="G49" s="5"/>
      <c r="H49" s="5"/>
      <c r="I49" s="11"/>
      <c r="J49" s="6"/>
    </row>
    <row r="50" customFormat="false" ht="15" hidden="false" customHeight="true" outlineLevel="0" collapsed="false">
      <c r="A50" s="9" t="s">
        <v>354</v>
      </c>
      <c r="B50" s="5" t="s">
        <v>355</v>
      </c>
      <c r="C50" s="5"/>
      <c r="D50" s="5"/>
      <c r="E50" s="5"/>
      <c r="F50" s="5"/>
      <c r="G50" s="5"/>
      <c r="H50" s="5"/>
      <c r="I50" s="11"/>
      <c r="J50" s="6"/>
    </row>
    <row r="51" customFormat="false" ht="15" hidden="false" customHeight="true" outlineLevel="0" collapsed="false">
      <c r="B51" s="4" t="s">
        <v>356</v>
      </c>
      <c r="C51" s="29" t="str">
        <f aca="false">IF(COUNTA(I45:I50)=0,"",(COUNTIF(I45:I50,"Oui")+0.5*COUNTIF(I45:I50,"Partiel"))/COUNTA(I45:I50))</f>
        <v/>
      </c>
      <c r="D51" s="30" t="s">
        <v>67</v>
      </c>
      <c r="E51" s="30" t="str">
        <f aca="false">IF(C51="","",IF(C51&gt;=0.9,4,IF(C51&gt;=0.75,3,IF(C51&gt;=0.5,2,1))))</f>
        <v/>
      </c>
      <c r="F51" s="14" t="s">
        <v>357</v>
      </c>
      <c r="G51" s="14"/>
      <c r="H51" s="14"/>
      <c r="I51" s="14"/>
      <c r="J51" s="14"/>
    </row>
    <row r="53" customFormat="false" ht="19.5" hidden="false" customHeight="true" outlineLevel="0" collapsed="false">
      <c r="A53" s="3" t="s">
        <v>358</v>
      </c>
      <c r="B53" s="3"/>
      <c r="C53" s="3"/>
      <c r="D53" s="3"/>
      <c r="E53" s="3"/>
      <c r="F53" s="3"/>
      <c r="G53" s="3"/>
      <c r="H53" s="3"/>
      <c r="I53" s="3"/>
      <c r="J53" s="3"/>
    </row>
    <row r="54" customFormat="false" ht="23.85" hidden="false" customHeight="false" outlineLevel="0" collapsed="false">
      <c r="B54" s="8" t="s">
        <v>359</v>
      </c>
      <c r="C54" s="8" t="s">
        <v>360</v>
      </c>
      <c r="D54" s="8" t="s">
        <v>361</v>
      </c>
      <c r="E54" s="8" t="s">
        <v>362</v>
      </c>
    </row>
    <row r="55" customFormat="false" ht="15" hidden="false" customHeight="true" outlineLevel="0" collapsed="false">
      <c r="B55" s="10" t="s">
        <v>363</v>
      </c>
      <c r="C55" s="11"/>
      <c r="D55" s="31"/>
      <c r="E55" s="15" t="str">
        <f aca="false">IF(ISNUMBER(D55),D55,"")</f>
        <v/>
      </c>
      <c r="F55" s="14" t="s">
        <v>364</v>
      </c>
      <c r="G55" s="14"/>
      <c r="H55" s="14"/>
      <c r="I55" s="14"/>
      <c r="J55" s="14"/>
    </row>
    <row r="56" customFormat="false" ht="15" hidden="false" customHeight="false" outlineLevel="0" collapsed="false">
      <c r="B56" s="10" t="s">
        <v>365</v>
      </c>
      <c r="C56" s="11"/>
      <c r="D56" s="31"/>
      <c r="E56" s="15" t="str">
        <f aca="false">IF(NOT(ISNUMBER(D56)),"",IF(C56&gt;=3,D56,"Non restitué : moins de 3 répondants"))</f>
        <v/>
      </c>
      <c r="F56" s="14"/>
      <c r="G56" s="14"/>
      <c r="H56" s="14"/>
      <c r="I56" s="14"/>
      <c r="J56" s="14"/>
    </row>
    <row r="57" customFormat="false" ht="15" hidden="false" customHeight="false" outlineLevel="0" collapsed="false">
      <c r="B57" s="10" t="s">
        <v>366</v>
      </c>
      <c r="C57" s="11"/>
      <c r="D57" s="31"/>
      <c r="E57" s="15" t="str">
        <f aca="false">IF(NOT(ISNUMBER(D57)),"",IF(C57&gt;=3,D57,"Non restitué : moins de 3 répondants"))</f>
        <v/>
      </c>
      <c r="F57" s="14"/>
      <c r="G57" s="14"/>
      <c r="H57" s="14"/>
      <c r="I57" s="14"/>
      <c r="J57" s="14"/>
    </row>
    <row r="58" customFormat="false" ht="15" hidden="false" customHeight="false" outlineLevel="0" collapsed="false">
      <c r="B58" s="4" t="s">
        <v>367</v>
      </c>
      <c r="C58" s="17" t="str">
        <f aca="false">IFERROR(AVERAGE(E55:E57),"")</f>
        <v/>
      </c>
    </row>
    <row r="60" customFormat="false" ht="19.5" hidden="false" customHeight="true" outlineLevel="0" collapsed="false">
      <c r="A60" s="3" t="s">
        <v>189</v>
      </c>
      <c r="B60" s="3"/>
      <c r="C60" s="3"/>
      <c r="D60" s="3"/>
      <c r="E60" s="3"/>
      <c r="F60" s="3"/>
      <c r="G60" s="3"/>
      <c r="H60" s="3"/>
      <c r="I60" s="3"/>
      <c r="J60" s="3"/>
    </row>
    <row r="61" customFormat="false" ht="15" hidden="false" customHeight="false" outlineLevel="0" collapsed="false">
      <c r="B61" s="8" t="s">
        <v>64</v>
      </c>
      <c r="C61" s="8" t="s">
        <v>190</v>
      </c>
      <c r="D61" s="8" t="s">
        <v>36</v>
      </c>
      <c r="E61" s="8" t="s">
        <v>191</v>
      </c>
      <c r="G61" s="12" t="s">
        <v>192</v>
      </c>
    </row>
    <row r="62" customFormat="false" ht="15" hidden="false" customHeight="true" outlineLevel="0" collapsed="false">
      <c r="B62" s="10" t="s">
        <v>368</v>
      </c>
      <c r="C62" s="13" t="str">
        <f aca="false">IF(ISNUMBER(I30),I30,"")</f>
        <v/>
      </c>
      <c r="D62" s="9" t="s">
        <v>194</v>
      </c>
      <c r="E62" s="9" t="s">
        <v>369</v>
      </c>
      <c r="G62" s="14" t="s">
        <v>370</v>
      </c>
      <c r="H62" s="14"/>
      <c r="I62" s="14"/>
      <c r="J62" s="14"/>
    </row>
    <row r="63" customFormat="false" ht="15" hidden="false" customHeight="true" outlineLevel="0" collapsed="false">
      <c r="B63" s="10" t="s">
        <v>371</v>
      </c>
      <c r="C63" s="15" t="str">
        <f aca="false">IFERROR(AVERAGE(I14:I26),"")</f>
        <v/>
      </c>
      <c r="D63" s="16" t="n">
        <v>0.35</v>
      </c>
      <c r="E63" s="15" t="str">
        <f aca="false">IF(ISNUMBER(C63),C63*D63,"")</f>
        <v/>
      </c>
      <c r="G63" s="14" t="s">
        <v>372</v>
      </c>
      <c r="H63" s="14"/>
      <c r="I63" s="14"/>
      <c r="J63" s="14"/>
    </row>
    <row r="64" customFormat="false" ht="15" hidden="false" customHeight="true" outlineLevel="0" collapsed="false">
      <c r="B64" s="10" t="s">
        <v>276</v>
      </c>
      <c r="C64" s="15" t="str">
        <f aca="false">IFERROR(AVERAGEIFS($I$30:$I$41,$B$30:$B$41,"Compétences managériales"),"")</f>
        <v/>
      </c>
      <c r="D64" s="16" t="n">
        <v>0.2</v>
      </c>
      <c r="E64" s="15" t="str">
        <f aca="false">IF(ISNUMBER(C64),C64*D64,"")</f>
        <v/>
      </c>
      <c r="G64" s="14" t="s">
        <v>373</v>
      </c>
      <c r="H64" s="14"/>
      <c r="I64" s="14"/>
      <c r="J64" s="14"/>
    </row>
    <row r="65" customFormat="false" ht="15" hidden="false" customHeight="true" outlineLevel="0" collapsed="false">
      <c r="B65" s="10" t="s">
        <v>295</v>
      </c>
      <c r="C65" s="15" t="str">
        <f aca="false">IFERROR(AVERAGEIFS($I$30:$I$41,$B$30:$B$41,"Comportements de leadership"),"")</f>
        <v/>
      </c>
      <c r="D65" s="16" t="n">
        <v>0.2</v>
      </c>
      <c r="E65" s="15" t="str">
        <f aca="false">IF(ISNUMBER(C65),C65*D65,"")</f>
        <v/>
      </c>
      <c r="G65" s="14" t="s">
        <v>374</v>
      </c>
      <c r="H65" s="14"/>
      <c r="I65" s="14"/>
      <c r="J65" s="14"/>
    </row>
    <row r="66" customFormat="false" ht="15" hidden="false" customHeight="true" outlineLevel="0" collapsed="false">
      <c r="B66" s="10" t="s">
        <v>171</v>
      </c>
      <c r="C66" s="15" t="str">
        <f aca="false">IFERROR(AVERAGEIFS($I$30:$I$41,$B$30:$B$41,"Amélioration continue"),"")</f>
        <v/>
      </c>
      <c r="D66" s="16" t="n">
        <v>0.15</v>
      </c>
      <c r="E66" s="15" t="str">
        <f aca="false">IF(ISNUMBER(C66),C66*D66,"")</f>
        <v/>
      </c>
      <c r="G66" s="14" t="s">
        <v>375</v>
      </c>
      <c r="H66" s="14"/>
      <c r="I66" s="14"/>
      <c r="J66" s="14"/>
    </row>
    <row r="67" customFormat="false" ht="15" hidden="false" customHeight="true" outlineLevel="0" collapsed="false">
      <c r="B67" s="10" t="s">
        <v>376</v>
      </c>
      <c r="C67" s="15" t="str">
        <f aca="false">IF(ISNUMBER(E51),E51,"")</f>
        <v/>
      </c>
      <c r="D67" s="16" t="n">
        <v>0.1</v>
      </c>
      <c r="E67" s="15" t="str">
        <f aca="false">IF(ISNUMBER(C67),C67*D67,"")</f>
        <v/>
      </c>
      <c r="G67" s="14" t="s">
        <v>377</v>
      </c>
      <c r="H67" s="14"/>
      <c r="I67" s="14"/>
      <c r="J67" s="14"/>
    </row>
    <row r="68" customFormat="false" ht="15" hidden="false" customHeight="false" outlineLevel="0" collapsed="false">
      <c r="B68" s="4" t="s">
        <v>201</v>
      </c>
      <c r="C68" s="17" t="str">
        <f aca="false">IFERROR(SUM(E63:E67)/SUMPRODUCT(--ISNUMBER(C63:C67),D63:D67),"")</f>
        <v/>
      </c>
      <c r="D68" s="18" t="n">
        <f aca="false">SUM(D63:D67)</f>
        <v>1</v>
      </c>
      <c r="E68" s="19"/>
    </row>
    <row r="69" customFormat="false" ht="15" hidden="false" customHeight="false" outlineLevel="0" collapsed="false">
      <c r="B69" s="20" t="s">
        <v>204</v>
      </c>
      <c r="C69" s="21" t="str">
        <f aca="false">IF(C68="","",IF(AND(ISNUMBER(C62),C62&lt;3),"Alerte : leadership sécurité à renforcer en priorité",IF(C68&gt;=3.5,"Au-delà des attentes",IF(C68&gt;=2.75,"Attentes atteintes",IF(C68&gt;=2,"Plan de progrès sur 3 mois","Alerte : accompagnement renforcé")))))</f>
        <v/>
      </c>
      <c r="D69" s="21"/>
      <c r="E69" s="21"/>
    </row>
    <row r="72" customFormat="false" ht="19.5" hidden="false" customHeight="true" outlineLevel="0" collapsed="false">
      <c r="A72" s="3" t="s">
        <v>206</v>
      </c>
      <c r="B72" s="3"/>
      <c r="C72" s="3"/>
      <c r="D72" s="3"/>
      <c r="E72" s="3"/>
      <c r="F72" s="3"/>
      <c r="G72" s="3"/>
      <c r="H72" s="3"/>
      <c r="I72" s="3"/>
      <c r="J72" s="3"/>
    </row>
    <row r="73" customFormat="false" ht="15" hidden="false" customHeight="true" outlineLevel="0" collapsed="false">
      <c r="A73" s="8" t="s">
        <v>207</v>
      </c>
      <c r="B73" s="8" t="s">
        <v>208</v>
      </c>
      <c r="C73" s="8" t="s">
        <v>209</v>
      </c>
      <c r="D73" s="8" t="s">
        <v>210</v>
      </c>
      <c r="E73" s="8" t="s">
        <v>211</v>
      </c>
      <c r="F73" s="8" t="s">
        <v>212</v>
      </c>
      <c r="G73" s="8" t="s">
        <v>213</v>
      </c>
      <c r="H73" s="8"/>
      <c r="I73" s="8"/>
      <c r="J73" s="8"/>
    </row>
    <row r="74" customFormat="false" ht="15" hidden="false" customHeight="false" outlineLevel="0" collapsed="false">
      <c r="A74" s="9" t="n">
        <v>1</v>
      </c>
      <c r="B74" s="6"/>
      <c r="C74" s="6"/>
      <c r="D74" s="6"/>
      <c r="E74" s="7"/>
      <c r="F74" s="6"/>
      <c r="G74" s="6"/>
      <c r="H74" s="6"/>
      <c r="I74" s="6"/>
      <c r="J74" s="6"/>
    </row>
    <row r="75" customFormat="false" ht="15" hidden="false" customHeight="false" outlineLevel="0" collapsed="false">
      <c r="A75" s="9" t="n">
        <v>2</v>
      </c>
      <c r="B75" s="6"/>
      <c r="C75" s="6"/>
      <c r="D75" s="6"/>
      <c r="E75" s="7"/>
      <c r="F75" s="6"/>
      <c r="G75" s="6"/>
      <c r="H75" s="6"/>
      <c r="I75" s="6"/>
      <c r="J75" s="6"/>
    </row>
    <row r="76" customFormat="false" ht="15" hidden="false" customHeight="false" outlineLevel="0" collapsed="false">
      <c r="A76" s="9" t="n">
        <v>3</v>
      </c>
      <c r="B76" s="6"/>
      <c r="C76" s="6"/>
      <c r="D76" s="6"/>
      <c r="E76" s="7"/>
      <c r="F76" s="6"/>
      <c r="G76" s="6"/>
      <c r="H76" s="6"/>
      <c r="I76" s="6"/>
      <c r="J76" s="6"/>
    </row>
    <row r="78" customFormat="false" ht="19.5" hidden="false" customHeight="true" outlineLevel="0" collapsed="false">
      <c r="A78" s="3" t="s">
        <v>214</v>
      </c>
      <c r="B78" s="3"/>
      <c r="C78" s="3"/>
      <c r="D78" s="3"/>
      <c r="E78" s="3"/>
      <c r="F78" s="3"/>
      <c r="G78" s="3"/>
      <c r="H78" s="3"/>
      <c r="I78" s="3"/>
      <c r="J78" s="3"/>
    </row>
    <row r="79" customFormat="false" ht="15" hidden="false" customHeight="true" outlineLevel="0" collapsed="false">
      <c r="A79" s="8" t="s">
        <v>207</v>
      </c>
      <c r="B79" s="8" t="s">
        <v>215</v>
      </c>
      <c r="C79" s="8" t="s">
        <v>216</v>
      </c>
      <c r="D79" s="8" t="s">
        <v>217</v>
      </c>
      <c r="E79" s="8" t="s">
        <v>211</v>
      </c>
      <c r="F79" s="8" t="s">
        <v>218</v>
      </c>
      <c r="G79" s="8"/>
      <c r="H79" s="8"/>
      <c r="I79" s="8"/>
      <c r="J79" s="8"/>
    </row>
    <row r="80" customFormat="false" ht="15" hidden="false" customHeight="false" outlineLevel="0" collapsed="false">
      <c r="A80" s="9" t="n">
        <v>1</v>
      </c>
      <c r="B80" s="6"/>
      <c r="C80" s="6"/>
      <c r="D80" s="6"/>
      <c r="E80" s="7"/>
      <c r="F80" s="6"/>
      <c r="G80" s="6"/>
      <c r="H80" s="6"/>
      <c r="I80" s="6"/>
      <c r="J80" s="6"/>
    </row>
    <row r="81" customFormat="false" ht="15" hidden="false" customHeight="false" outlineLevel="0" collapsed="false">
      <c r="A81" s="9" t="n">
        <v>2</v>
      </c>
      <c r="B81" s="6"/>
      <c r="C81" s="6"/>
      <c r="D81" s="6"/>
      <c r="E81" s="7"/>
      <c r="F81" s="6"/>
      <c r="G81" s="6"/>
      <c r="H81" s="6"/>
      <c r="I81" s="6"/>
      <c r="J81" s="6"/>
    </row>
    <row r="82" customFormat="false" ht="15" hidden="false" customHeight="false" outlineLevel="0" collapsed="false">
      <c r="A82" s="9" t="n">
        <v>3</v>
      </c>
      <c r="B82" s="6"/>
      <c r="C82" s="6"/>
      <c r="D82" s="6"/>
      <c r="E82" s="7"/>
      <c r="F82" s="6"/>
      <c r="G82" s="6"/>
      <c r="H82" s="6"/>
      <c r="I82" s="6"/>
      <c r="J82" s="6"/>
    </row>
    <row r="84" customFormat="false" ht="19.5" hidden="false" customHeight="true" outlineLevel="0" collapsed="false">
      <c r="A84" s="3" t="s">
        <v>219</v>
      </c>
      <c r="B84" s="3"/>
      <c r="C84" s="3"/>
      <c r="D84" s="3"/>
      <c r="E84" s="3"/>
      <c r="F84" s="3"/>
      <c r="G84" s="3"/>
      <c r="H84" s="3"/>
      <c r="I84" s="3"/>
      <c r="J84" s="3"/>
    </row>
    <row r="85" customFormat="false" ht="45" hidden="false" customHeight="true" outlineLevel="0" collapsed="false">
      <c r="B85" s="4" t="s">
        <v>220</v>
      </c>
      <c r="C85" s="6"/>
      <c r="D85" s="6"/>
      <c r="E85" s="6"/>
      <c r="F85" s="6"/>
      <c r="G85" s="6"/>
      <c r="H85" s="6"/>
      <c r="I85" s="6"/>
      <c r="J85" s="6"/>
    </row>
    <row r="86" customFormat="false" ht="45" hidden="false" customHeight="true" outlineLevel="0" collapsed="false">
      <c r="B86" s="4" t="s">
        <v>221</v>
      </c>
      <c r="C86" s="6"/>
      <c r="D86" s="6"/>
      <c r="E86" s="6"/>
      <c r="F86" s="6"/>
      <c r="G86" s="6"/>
      <c r="H86" s="6"/>
      <c r="I86" s="6"/>
      <c r="J86" s="6"/>
    </row>
    <row r="88" customFormat="false" ht="34.5" hidden="false" customHeight="true" outlineLevel="0" collapsed="false">
      <c r="B88" s="4" t="s">
        <v>222</v>
      </c>
      <c r="C88" s="6"/>
      <c r="D88" s="6"/>
      <c r="E88" s="6"/>
      <c r="F88" s="4" t="s">
        <v>223</v>
      </c>
      <c r="G88" s="6"/>
      <c r="H88" s="6"/>
      <c r="I88" s="6"/>
      <c r="J88" s="6"/>
    </row>
  </sheetData>
  <mergeCells count="56">
    <mergeCell ref="A4:J4"/>
    <mergeCell ref="C5:D5"/>
    <mergeCell ref="C6:D6"/>
    <mergeCell ref="C7:D7"/>
    <mergeCell ref="C8:D8"/>
    <mergeCell ref="C9:D9"/>
    <mergeCell ref="C10:D10"/>
    <mergeCell ref="A12:J12"/>
    <mergeCell ref="A28:J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A43:J43"/>
    <mergeCell ref="B44:H44"/>
    <mergeCell ref="B45:H45"/>
    <mergeCell ref="B46:H46"/>
    <mergeCell ref="B47:H47"/>
    <mergeCell ref="B48:H48"/>
    <mergeCell ref="B49:H49"/>
    <mergeCell ref="B50:H50"/>
    <mergeCell ref="F51:J51"/>
    <mergeCell ref="A53:J53"/>
    <mergeCell ref="F55:J57"/>
    <mergeCell ref="A60:J60"/>
    <mergeCell ref="G62:J62"/>
    <mergeCell ref="G63:J63"/>
    <mergeCell ref="G64:J64"/>
    <mergeCell ref="G65:J65"/>
    <mergeCell ref="G66:J66"/>
    <mergeCell ref="G67:J67"/>
    <mergeCell ref="C69:E69"/>
    <mergeCell ref="A72:J72"/>
    <mergeCell ref="G73:J73"/>
    <mergeCell ref="G74:J74"/>
    <mergeCell ref="G75:J75"/>
    <mergeCell ref="G76:J76"/>
    <mergeCell ref="A78:J78"/>
    <mergeCell ref="F79:J79"/>
    <mergeCell ref="F80:J80"/>
    <mergeCell ref="F81:J81"/>
    <mergeCell ref="F82:J82"/>
    <mergeCell ref="A84:J84"/>
    <mergeCell ref="C85:J85"/>
    <mergeCell ref="C86:J86"/>
    <mergeCell ref="C88:E88"/>
    <mergeCell ref="G88:J88"/>
  </mergeCells>
  <conditionalFormatting sqref="I14:I26">
    <cfRule type="cellIs" priority="2" operator="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2</formula>
    </cfRule>
    <cfRule type="cellIs" priority="4" operator="equal" aboveAverage="0" equalAverage="0" bottom="0" percent="0" rank="0" text="" dxfId="2">
      <formula>3</formula>
    </cfRule>
    <cfRule type="cellIs" priority="5" operator="equal" aboveAverage="0" equalAverage="0" bottom="0" percent="0" rank="0" text="" dxfId="3">
      <formula>4</formula>
    </cfRule>
  </conditionalFormatting>
  <conditionalFormatting sqref="I30:I41">
    <cfRule type="cellIs" priority="6" operator="equal" aboveAverage="0" equalAverage="0" bottom="0" percent="0" rank="0" text="" dxfId="0">
      <formula>1</formula>
    </cfRule>
    <cfRule type="cellIs" priority="7" operator="equal" aboveAverage="0" equalAverage="0" bottom="0" percent="0" rank="0" text="" dxfId="1">
      <formula>2</formula>
    </cfRule>
    <cfRule type="cellIs" priority="8" operator="equal" aboveAverage="0" equalAverage="0" bottom="0" percent="0" rank="0" text="" dxfId="2">
      <formula>3</formula>
    </cfRule>
    <cfRule type="cellIs" priority="9" operator="equal" aboveAverage="0" equalAverage="0" bottom="0" percent="0" rank="0" text="" dxfId="3">
      <formula>4</formula>
    </cfRule>
  </conditionalFormatting>
  <conditionalFormatting sqref="I45:I50">
    <cfRule type="cellIs" priority="10" operator="equal" aboveAverage="0" equalAverage="0" bottom="0" percent="0" rank="0" text="" dxfId="2">
      <formula>"Oui"</formula>
    </cfRule>
    <cfRule type="cellIs" priority="11" operator="equal" aboveAverage="0" equalAverage="0" bottom="0" percent="0" rank="0" text="" dxfId="1">
      <formula>"Partiel"</formula>
    </cfRule>
    <cfRule type="cellIs" priority="12" operator="equal" aboveAverage="0" equalAverage="0" bottom="0" percent="0" rank="0" text="" dxfId="0">
      <formula>"Non"</formula>
    </cfRule>
  </conditionalFormatting>
  <conditionalFormatting sqref="C69">
    <cfRule type="expression" priority="13" aboveAverage="0" equalAverage="0" bottom="0" percent="0" rank="0" text="" dxfId="0">
      <formula>LEFT(C69,6)="Alerte"</formula>
    </cfRule>
    <cfRule type="expression" priority="14" aboveAverage="0" equalAverage="0" bottom="0" percent="0" rank="0" text="" dxfId="1">
      <formula>LEFT(C69,4)="Plan"</formula>
    </cfRule>
    <cfRule type="expression" priority="15" aboveAverage="0" equalAverage="0" bottom="0" percent="0" rank="0" text="" dxfId="2">
      <formula>OR(LEFT(C69,6)="Niveau",LEFT(C69,8)="Attentes",LEFT(C69,6)="Au-del")</formula>
    </cfRule>
  </conditionalFormatting>
  <dataValidations count="5">
    <dataValidation allowBlank="true" errorStyle="stop" operator="between" showDropDown="false" showErrorMessage="false" showInputMessage="false" sqref="I14:I26 I30:I41" type="list">
      <formula1>"1,2,3,4,N/A"</formula1>
      <formula2>0</formula2>
    </dataValidation>
    <dataValidation allowBlank="true" errorStyle="stop" operator="between" showDropDown="false" showErrorMessage="false" showInputMessage="false" sqref="C6" type="list">
      <formula1>"4. Team leader,Team leader en prise de poste"</formula1>
      <formula2>0</formula2>
    </dataValidation>
    <dataValidation allowBlank="true" errorStyle="stop" operator="between" showDropDown="false" showErrorMessage="false" showInputMessage="false" sqref="I45:I50" type="list">
      <formula1>"Oui,Partiel,Non"</formula1>
      <formula2>0</formula2>
    </dataValidation>
    <dataValidation allowBlank="true" errorStyle="stop" operator="between" showDropDown="false" showErrorMessage="false" showInputMessage="false" sqref="F74:F76" type="list">
      <formula1>"Atteint,Partiellement atteint,Non atteint"</formula1>
      <formula2>0</formula2>
    </dataValidation>
    <dataValidation allowBlank="true" errorStyle="stop" operator="between" showDropDown="false" showErrorMessage="false" showInputMessage="false" sqref="C80:C82" type="list">
      <formula1>"Formation,Tutorat,Mission,Changement de poste,Autre"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J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13"/>
    <col collapsed="false" customWidth="true" hidden="false" outlineLevel="0" max="8" min="5" style="0" width="26"/>
    <col collapsed="false" customWidth="true" hidden="false" outlineLevel="0" max="9" min="9" style="0" width="9"/>
    <col collapsed="false" customWidth="true" hidden="false" outlineLevel="0" max="10" min="10" style="0" width="36"/>
  </cols>
  <sheetData>
    <row r="1" customFormat="false" ht="19.7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9.5" hidden="false" customHeight="true" outlineLevel="0" collapsed="false">
      <c r="A4" s="3" t="s">
        <v>55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true" outlineLevel="0" collapsed="false">
      <c r="B5" s="4" t="s">
        <v>56</v>
      </c>
      <c r="C5" s="6" t="s">
        <v>378</v>
      </c>
      <c r="D5" s="6"/>
    </row>
    <row r="6" customFormat="false" ht="15" hidden="false" customHeight="true" outlineLevel="0" collapsed="false">
      <c r="B6" s="4" t="s">
        <v>57</v>
      </c>
      <c r="C6" s="6" t="s">
        <v>379</v>
      </c>
      <c r="D6" s="6"/>
    </row>
    <row r="7" customFormat="false" ht="15" hidden="false" customHeight="true" outlineLevel="0" collapsed="false">
      <c r="B7" s="4" t="s">
        <v>58</v>
      </c>
      <c r="C7" s="6" t="s">
        <v>380</v>
      </c>
      <c r="D7" s="6"/>
    </row>
    <row r="8" customFormat="false" ht="15" hidden="false" customHeight="true" outlineLevel="0" collapsed="false">
      <c r="B8" s="4" t="s">
        <v>59</v>
      </c>
      <c r="C8" s="6" t="s">
        <v>381</v>
      </c>
      <c r="D8" s="6"/>
    </row>
    <row r="9" customFormat="false" ht="15" hidden="false" customHeight="false" outlineLevel="0" collapsed="false">
      <c r="B9" s="4" t="s">
        <v>60</v>
      </c>
      <c r="C9" s="7" t="n">
        <v>46296</v>
      </c>
      <c r="D9" s="7"/>
    </row>
    <row r="10" customFormat="false" ht="15" hidden="false" customHeight="true" outlineLevel="0" collapsed="false">
      <c r="B10" s="4" t="s">
        <v>61</v>
      </c>
      <c r="C10" s="6" t="s">
        <v>382</v>
      </c>
      <c r="D10" s="6"/>
    </row>
    <row r="12" customFormat="false" ht="19.5" hidden="false" customHeight="true" outlineLevel="0" collapsed="false">
      <c r="A12" s="3" t="s">
        <v>62</v>
      </c>
      <c r="B12" s="3"/>
      <c r="C12" s="3"/>
      <c r="D12" s="3"/>
      <c r="E12" s="3"/>
      <c r="F12" s="3"/>
      <c r="G12" s="3"/>
      <c r="H12" s="3"/>
      <c r="I12" s="3"/>
      <c r="J12" s="3"/>
    </row>
    <row r="13" customFormat="false" ht="23.85" hidden="false" customHeight="false" outlineLevel="0" collapsed="false">
      <c r="A13" s="8" t="s">
        <v>63</v>
      </c>
      <c r="B13" s="8" t="s">
        <v>64</v>
      </c>
      <c r="C13" s="8" t="s">
        <v>65</v>
      </c>
      <c r="D13" s="8" t="s">
        <v>66</v>
      </c>
      <c r="E13" s="8" t="s">
        <v>25</v>
      </c>
      <c r="F13" s="8" t="s">
        <v>27</v>
      </c>
      <c r="G13" s="8" t="s">
        <v>29</v>
      </c>
      <c r="H13" s="8" t="s">
        <v>31</v>
      </c>
      <c r="I13" s="8" t="s">
        <v>67</v>
      </c>
      <c r="J13" s="8" t="s">
        <v>68</v>
      </c>
    </row>
    <row r="14" customFormat="false" ht="42" hidden="false" customHeight="true" outlineLevel="0" collapsed="false">
      <c r="A14" s="9" t="s">
        <v>69</v>
      </c>
      <c r="B14" s="5" t="s">
        <v>38</v>
      </c>
      <c r="C14" s="10" t="s">
        <v>70</v>
      </c>
      <c r="D14" s="9" t="s">
        <v>71</v>
      </c>
      <c r="E14" s="5" t="s">
        <v>72</v>
      </c>
      <c r="F14" s="5" t="s">
        <v>73</v>
      </c>
      <c r="G14" s="5" t="s">
        <v>74</v>
      </c>
      <c r="H14" s="5" t="s">
        <v>75</v>
      </c>
      <c r="I14" s="11" t="n">
        <v>4</v>
      </c>
      <c r="J14" s="6"/>
    </row>
    <row r="15" customFormat="false" ht="42" hidden="false" customHeight="true" outlineLevel="0" collapsed="false">
      <c r="A15" s="9" t="s">
        <v>76</v>
      </c>
      <c r="B15" s="5" t="s">
        <v>38</v>
      </c>
      <c r="C15" s="10" t="s">
        <v>77</v>
      </c>
      <c r="D15" s="9" t="s">
        <v>71</v>
      </c>
      <c r="E15" s="5" t="s">
        <v>78</v>
      </c>
      <c r="F15" s="5" t="s">
        <v>79</v>
      </c>
      <c r="G15" s="5" t="s">
        <v>80</v>
      </c>
      <c r="H15" s="5" t="s">
        <v>81</v>
      </c>
      <c r="I15" s="11" t="n">
        <v>4</v>
      </c>
      <c r="J15" s="6"/>
    </row>
    <row r="16" customFormat="false" ht="42" hidden="false" customHeight="true" outlineLevel="0" collapsed="false">
      <c r="A16" s="9" t="s">
        <v>82</v>
      </c>
      <c r="B16" s="5" t="s">
        <v>38</v>
      </c>
      <c r="C16" s="10" t="s">
        <v>83</v>
      </c>
      <c r="D16" s="9" t="s">
        <v>71</v>
      </c>
      <c r="E16" s="5" t="s">
        <v>84</v>
      </c>
      <c r="F16" s="5" t="s">
        <v>85</v>
      </c>
      <c r="G16" s="5" t="s">
        <v>86</v>
      </c>
      <c r="H16" s="5" t="s">
        <v>87</v>
      </c>
      <c r="I16" s="11" t="n">
        <v>4</v>
      </c>
      <c r="J16" s="6" t="s">
        <v>383</v>
      </c>
    </row>
    <row r="17" customFormat="false" ht="42" hidden="false" customHeight="true" outlineLevel="0" collapsed="false">
      <c r="A17" s="9" t="s">
        <v>88</v>
      </c>
      <c r="B17" s="5" t="s">
        <v>89</v>
      </c>
      <c r="C17" s="10" t="s">
        <v>90</v>
      </c>
      <c r="D17" s="9" t="s">
        <v>71</v>
      </c>
      <c r="E17" s="5" t="s">
        <v>91</v>
      </c>
      <c r="F17" s="5" t="s">
        <v>92</v>
      </c>
      <c r="G17" s="5" t="s">
        <v>93</v>
      </c>
      <c r="H17" s="5" t="s">
        <v>94</v>
      </c>
      <c r="I17" s="11" t="n">
        <v>3</v>
      </c>
      <c r="J17" s="6" t="s">
        <v>384</v>
      </c>
    </row>
    <row r="18" customFormat="false" ht="42" hidden="false" customHeight="true" outlineLevel="0" collapsed="false">
      <c r="A18" s="9" t="s">
        <v>95</v>
      </c>
      <c r="B18" s="5" t="s">
        <v>89</v>
      </c>
      <c r="C18" s="10" t="s">
        <v>96</v>
      </c>
      <c r="D18" s="9" t="s">
        <v>71</v>
      </c>
      <c r="E18" s="5" t="s">
        <v>97</v>
      </c>
      <c r="F18" s="5" t="s">
        <v>98</v>
      </c>
      <c r="G18" s="5" t="s">
        <v>99</v>
      </c>
      <c r="H18" s="5" t="s">
        <v>100</v>
      </c>
      <c r="I18" s="11" t="n">
        <v>3</v>
      </c>
      <c r="J18" s="6" t="s">
        <v>385</v>
      </c>
    </row>
    <row r="19" customFormat="false" ht="42" hidden="false" customHeight="true" outlineLevel="0" collapsed="false">
      <c r="A19" s="9" t="s">
        <v>101</v>
      </c>
      <c r="B19" s="5" t="s">
        <v>89</v>
      </c>
      <c r="C19" s="10" t="s">
        <v>102</v>
      </c>
      <c r="D19" s="9" t="s">
        <v>71</v>
      </c>
      <c r="E19" s="5" t="s">
        <v>103</v>
      </c>
      <c r="F19" s="5" t="s">
        <v>104</v>
      </c>
      <c r="G19" s="5" t="s">
        <v>105</v>
      </c>
      <c r="H19" s="5" t="s">
        <v>106</v>
      </c>
      <c r="I19" s="11" t="n">
        <v>4</v>
      </c>
      <c r="J19" s="6"/>
    </row>
    <row r="20" customFormat="false" ht="42" hidden="false" customHeight="true" outlineLevel="0" collapsed="false">
      <c r="A20" s="9" t="s">
        <v>107</v>
      </c>
      <c r="B20" s="5" t="s">
        <v>108</v>
      </c>
      <c r="C20" s="10" t="s">
        <v>109</v>
      </c>
      <c r="D20" s="9" t="s">
        <v>71</v>
      </c>
      <c r="E20" s="5" t="s">
        <v>110</v>
      </c>
      <c r="F20" s="5" t="s">
        <v>111</v>
      </c>
      <c r="G20" s="5" t="s">
        <v>112</v>
      </c>
      <c r="H20" s="5" t="s">
        <v>113</v>
      </c>
      <c r="I20" s="11" t="n">
        <v>3</v>
      </c>
      <c r="J20" s="6"/>
    </row>
    <row r="21" customFormat="false" ht="42" hidden="false" customHeight="true" outlineLevel="0" collapsed="false">
      <c r="A21" s="9" t="s">
        <v>114</v>
      </c>
      <c r="B21" s="5" t="s">
        <v>108</v>
      </c>
      <c r="C21" s="10" t="s">
        <v>115</v>
      </c>
      <c r="D21" s="9" t="s">
        <v>71</v>
      </c>
      <c r="E21" s="5" t="s">
        <v>116</v>
      </c>
      <c r="F21" s="5" t="s">
        <v>117</v>
      </c>
      <c r="G21" s="5" t="s">
        <v>118</v>
      </c>
      <c r="H21" s="5" t="s">
        <v>119</v>
      </c>
      <c r="I21" s="11" t="n">
        <v>3</v>
      </c>
      <c r="J21" s="6" t="s">
        <v>386</v>
      </c>
    </row>
    <row r="22" customFormat="false" ht="42" hidden="false" customHeight="true" outlineLevel="0" collapsed="false">
      <c r="A22" s="9" t="s">
        <v>120</v>
      </c>
      <c r="B22" s="5" t="s">
        <v>108</v>
      </c>
      <c r="C22" s="10" t="s">
        <v>121</v>
      </c>
      <c r="D22" s="9" t="s">
        <v>71</v>
      </c>
      <c r="E22" s="5" t="s">
        <v>122</v>
      </c>
      <c r="F22" s="5" t="s">
        <v>123</v>
      </c>
      <c r="G22" s="5" t="s">
        <v>124</v>
      </c>
      <c r="H22" s="5" t="s">
        <v>125</v>
      </c>
      <c r="I22" s="11" t="n">
        <v>4</v>
      </c>
      <c r="J22" s="6"/>
    </row>
    <row r="23" customFormat="false" ht="42" hidden="false" customHeight="true" outlineLevel="0" collapsed="false">
      <c r="A23" s="9" t="s">
        <v>126</v>
      </c>
      <c r="B23" s="5" t="s">
        <v>108</v>
      </c>
      <c r="C23" s="10" t="s">
        <v>127</v>
      </c>
      <c r="D23" s="9" t="s">
        <v>71</v>
      </c>
      <c r="E23" s="5" t="s">
        <v>128</v>
      </c>
      <c r="F23" s="5" t="s">
        <v>129</v>
      </c>
      <c r="G23" s="5" t="s">
        <v>130</v>
      </c>
      <c r="H23" s="5" t="s">
        <v>131</v>
      </c>
      <c r="I23" s="11" t="n">
        <v>3</v>
      </c>
      <c r="J23" s="6"/>
    </row>
    <row r="24" customFormat="false" ht="42" hidden="false" customHeight="true" outlineLevel="0" collapsed="false">
      <c r="A24" s="9" t="s">
        <v>132</v>
      </c>
      <c r="B24" s="5" t="s">
        <v>108</v>
      </c>
      <c r="C24" s="10" t="s">
        <v>133</v>
      </c>
      <c r="D24" s="9" t="s">
        <v>134</v>
      </c>
      <c r="E24" s="5" t="s">
        <v>135</v>
      </c>
      <c r="F24" s="5" t="s">
        <v>136</v>
      </c>
      <c r="G24" s="5" t="s">
        <v>137</v>
      </c>
      <c r="H24" s="5" t="s">
        <v>138</v>
      </c>
      <c r="I24" s="11" t="s">
        <v>16</v>
      </c>
      <c r="J24" s="6"/>
    </row>
    <row r="25" customFormat="false" ht="42" hidden="false" customHeight="true" outlineLevel="0" collapsed="false">
      <c r="A25" s="9" t="s">
        <v>139</v>
      </c>
      <c r="B25" s="5" t="s">
        <v>140</v>
      </c>
      <c r="C25" s="10" t="s">
        <v>141</v>
      </c>
      <c r="D25" s="9" t="s">
        <v>71</v>
      </c>
      <c r="E25" s="5" t="s">
        <v>142</v>
      </c>
      <c r="F25" s="5" t="s">
        <v>143</v>
      </c>
      <c r="G25" s="5" t="s">
        <v>144</v>
      </c>
      <c r="H25" s="5" t="s">
        <v>145</v>
      </c>
      <c r="I25" s="11" t="n">
        <v>3</v>
      </c>
      <c r="J25" s="6"/>
    </row>
    <row r="26" customFormat="false" ht="42" hidden="false" customHeight="true" outlineLevel="0" collapsed="false">
      <c r="A26" s="9" t="s">
        <v>146</v>
      </c>
      <c r="B26" s="5" t="s">
        <v>140</v>
      </c>
      <c r="C26" s="10" t="s">
        <v>147</v>
      </c>
      <c r="D26" s="9" t="s">
        <v>71</v>
      </c>
      <c r="E26" s="5" t="s">
        <v>148</v>
      </c>
      <c r="F26" s="5" t="s">
        <v>149</v>
      </c>
      <c r="G26" s="5" t="s">
        <v>150</v>
      </c>
      <c r="H26" s="5" t="s">
        <v>151</v>
      </c>
      <c r="I26" s="11" t="n">
        <v>4</v>
      </c>
      <c r="J26" s="6" t="s">
        <v>387</v>
      </c>
    </row>
    <row r="27" customFormat="false" ht="42" hidden="false" customHeight="true" outlineLevel="0" collapsed="false">
      <c r="A27" s="9" t="s">
        <v>152</v>
      </c>
      <c r="B27" s="5" t="s">
        <v>140</v>
      </c>
      <c r="C27" s="10" t="s">
        <v>153</v>
      </c>
      <c r="D27" s="9" t="s">
        <v>71</v>
      </c>
      <c r="E27" s="5" t="s">
        <v>154</v>
      </c>
      <c r="F27" s="5" t="s">
        <v>155</v>
      </c>
      <c r="G27" s="5" t="s">
        <v>156</v>
      </c>
      <c r="H27" s="5" t="s">
        <v>157</v>
      </c>
      <c r="I27" s="11" t="n">
        <v>3</v>
      </c>
      <c r="J27" s="6"/>
    </row>
    <row r="28" customFormat="false" ht="42" hidden="false" customHeight="true" outlineLevel="0" collapsed="false">
      <c r="A28" s="9" t="s">
        <v>158</v>
      </c>
      <c r="B28" s="5" t="s">
        <v>140</v>
      </c>
      <c r="C28" s="10" t="s">
        <v>159</v>
      </c>
      <c r="D28" s="9" t="s">
        <v>71</v>
      </c>
      <c r="E28" s="5" t="s">
        <v>160</v>
      </c>
      <c r="F28" s="5" t="s">
        <v>161</v>
      </c>
      <c r="G28" s="5" t="s">
        <v>162</v>
      </c>
      <c r="H28" s="5" t="s">
        <v>163</v>
      </c>
      <c r="I28" s="11" t="n">
        <v>3</v>
      </c>
      <c r="J28" s="6"/>
    </row>
    <row r="29" customFormat="false" ht="42" hidden="false" customHeight="true" outlineLevel="0" collapsed="false">
      <c r="A29" s="9" t="s">
        <v>164</v>
      </c>
      <c r="B29" s="5" t="s">
        <v>140</v>
      </c>
      <c r="C29" s="10" t="s">
        <v>165</v>
      </c>
      <c r="D29" s="9" t="s">
        <v>134</v>
      </c>
      <c r="E29" s="5" t="s">
        <v>166</v>
      </c>
      <c r="F29" s="5" t="s">
        <v>167</v>
      </c>
      <c r="G29" s="5" t="s">
        <v>168</v>
      </c>
      <c r="H29" s="5" t="s">
        <v>169</v>
      </c>
      <c r="I29" s="11" t="s">
        <v>16</v>
      </c>
      <c r="J29" s="6"/>
    </row>
    <row r="30" customFormat="false" ht="42" hidden="false" customHeight="true" outlineLevel="0" collapsed="false">
      <c r="A30" s="9" t="s">
        <v>170</v>
      </c>
      <c r="B30" s="5" t="s">
        <v>171</v>
      </c>
      <c r="C30" s="10" t="s">
        <v>172</v>
      </c>
      <c r="D30" s="9" t="s">
        <v>71</v>
      </c>
      <c r="E30" s="5" t="s">
        <v>173</v>
      </c>
      <c r="F30" s="5" t="s">
        <v>174</v>
      </c>
      <c r="G30" s="5" t="s">
        <v>175</v>
      </c>
      <c r="H30" s="5" t="s">
        <v>176</v>
      </c>
      <c r="I30" s="11" t="n">
        <v>2</v>
      </c>
      <c r="J30" s="6" t="s">
        <v>388</v>
      </c>
    </row>
    <row r="31" customFormat="false" ht="42" hidden="false" customHeight="true" outlineLevel="0" collapsed="false">
      <c r="A31" s="9" t="s">
        <v>177</v>
      </c>
      <c r="B31" s="5" t="s">
        <v>171</v>
      </c>
      <c r="C31" s="10" t="s">
        <v>178</v>
      </c>
      <c r="D31" s="9" t="s">
        <v>71</v>
      </c>
      <c r="E31" s="5" t="s">
        <v>179</v>
      </c>
      <c r="F31" s="5" t="s">
        <v>180</v>
      </c>
      <c r="G31" s="5" t="s">
        <v>181</v>
      </c>
      <c r="H31" s="5" t="s">
        <v>182</v>
      </c>
      <c r="I31" s="11" t="n">
        <v>3</v>
      </c>
      <c r="J31" s="6"/>
    </row>
    <row r="32" customFormat="false" ht="42" hidden="false" customHeight="true" outlineLevel="0" collapsed="false">
      <c r="A32" s="9" t="s">
        <v>183</v>
      </c>
      <c r="B32" s="5" t="s">
        <v>171</v>
      </c>
      <c r="C32" s="10" t="s">
        <v>184</v>
      </c>
      <c r="D32" s="9" t="s">
        <v>134</v>
      </c>
      <c r="E32" s="5" t="s">
        <v>185</v>
      </c>
      <c r="F32" s="5" t="s">
        <v>186</v>
      </c>
      <c r="G32" s="5" t="s">
        <v>187</v>
      </c>
      <c r="H32" s="5" t="s">
        <v>188</v>
      </c>
      <c r="I32" s="11" t="s">
        <v>16</v>
      </c>
      <c r="J32" s="6"/>
    </row>
    <row r="34" customFormat="false" ht="19.5" hidden="false" customHeight="true" outlineLevel="0" collapsed="false">
      <c r="A34" s="3" t="s">
        <v>189</v>
      </c>
      <c r="B34" s="3"/>
      <c r="C34" s="3"/>
      <c r="D34" s="3"/>
      <c r="E34" s="3"/>
      <c r="F34" s="3"/>
      <c r="G34" s="3"/>
      <c r="H34" s="3"/>
      <c r="I34" s="3"/>
      <c r="J34" s="3"/>
    </row>
    <row r="35" customFormat="false" ht="15" hidden="false" customHeight="false" outlineLevel="0" collapsed="false">
      <c r="B35" s="8" t="s">
        <v>64</v>
      </c>
      <c r="C35" s="8" t="s">
        <v>190</v>
      </c>
      <c r="D35" s="8" t="s">
        <v>36</v>
      </c>
      <c r="E35" s="8" t="s">
        <v>191</v>
      </c>
      <c r="G35" s="12" t="s">
        <v>192</v>
      </c>
    </row>
    <row r="36" customFormat="false" ht="15" hidden="false" customHeight="true" outlineLevel="0" collapsed="false">
      <c r="B36" s="10" t="s">
        <v>193</v>
      </c>
      <c r="C36" s="13" t="n">
        <f aca="false">IF(COUNT(I14:I16)=0,"",MIN(I14:I16))</f>
        <v>4</v>
      </c>
      <c r="D36" s="9" t="s">
        <v>194</v>
      </c>
      <c r="E36" s="9" t="s">
        <v>195</v>
      </c>
      <c r="G36" s="14" t="s">
        <v>196</v>
      </c>
      <c r="H36" s="14"/>
      <c r="I36" s="14"/>
      <c r="J36" s="14"/>
    </row>
    <row r="37" customFormat="false" ht="15" hidden="false" customHeight="true" outlineLevel="0" collapsed="false">
      <c r="B37" s="10" t="s">
        <v>89</v>
      </c>
      <c r="C37" s="15" t="n">
        <f aca="false">IFERROR(AVERAGEIFS($I$14:$I$32,$B$14:$B$32,B37),"")</f>
        <v>3.33333333333333</v>
      </c>
      <c r="D37" s="16" t="n">
        <v>0.3</v>
      </c>
      <c r="E37" s="15" t="n">
        <f aca="false">IF(ISNUMBER(C37),C37*D37,"")</f>
        <v>1</v>
      </c>
      <c r="G37" s="14" t="s">
        <v>197</v>
      </c>
      <c r="H37" s="14"/>
      <c r="I37" s="14"/>
      <c r="J37" s="14"/>
    </row>
    <row r="38" customFormat="false" ht="15" hidden="false" customHeight="true" outlineLevel="0" collapsed="false">
      <c r="B38" s="10" t="s">
        <v>108</v>
      </c>
      <c r="C38" s="15" t="n">
        <f aca="false">IFERROR(AVERAGEIFS($I$14:$I$32,$B$14:$B$32,B38),"")</f>
        <v>3.25</v>
      </c>
      <c r="D38" s="16" t="n">
        <v>0.25</v>
      </c>
      <c r="E38" s="15" t="n">
        <f aca="false">IF(ISNUMBER(C38),C38*D38,"")</f>
        <v>0.8125</v>
      </c>
      <c r="G38" s="14" t="s">
        <v>198</v>
      </c>
      <c r="H38" s="14"/>
      <c r="I38" s="14"/>
      <c r="J38" s="14"/>
    </row>
    <row r="39" customFormat="false" ht="15" hidden="false" customHeight="true" outlineLevel="0" collapsed="false">
      <c r="B39" s="10" t="s">
        <v>140</v>
      </c>
      <c r="C39" s="15" t="n">
        <f aca="false">IFERROR(AVERAGEIFS($I$14:$I$32,$B$14:$B$32,B39),"")</f>
        <v>3.25</v>
      </c>
      <c r="D39" s="16" t="n">
        <v>0.25</v>
      </c>
      <c r="E39" s="15" t="n">
        <f aca="false">IF(ISNUMBER(C39),C39*D39,"")</f>
        <v>0.8125</v>
      </c>
      <c r="G39" s="14" t="s">
        <v>199</v>
      </c>
      <c r="H39" s="14"/>
      <c r="I39" s="14"/>
      <c r="J39" s="14"/>
    </row>
    <row r="40" customFormat="false" ht="15" hidden="false" customHeight="true" outlineLevel="0" collapsed="false">
      <c r="B40" s="10" t="s">
        <v>171</v>
      </c>
      <c r="C40" s="15" t="n">
        <f aca="false">IFERROR(AVERAGEIFS($I$14:$I$32,$B$14:$B$32,B40),"")</f>
        <v>2.5</v>
      </c>
      <c r="D40" s="16" t="n">
        <v>0.2</v>
      </c>
      <c r="E40" s="15" t="n">
        <f aca="false">IF(ISNUMBER(C40),C40*D40,"")</f>
        <v>0.5</v>
      </c>
      <c r="G40" s="14" t="s">
        <v>200</v>
      </c>
      <c r="H40" s="14"/>
      <c r="I40" s="14"/>
      <c r="J40" s="14"/>
    </row>
    <row r="41" customFormat="false" ht="15" hidden="false" customHeight="false" outlineLevel="0" collapsed="false">
      <c r="B41" s="4" t="s">
        <v>201</v>
      </c>
      <c r="C41" s="17" t="n">
        <f aca="false">IFERROR(SUM(E37:E40)/SUMPRODUCT(--ISNUMBER(C37:C40),D37:D40),"")</f>
        <v>3.125</v>
      </c>
      <c r="D41" s="18" t="n">
        <f aca="false">SUM(D37:D40)</f>
        <v>1</v>
      </c>
      <c r="E41" s="19"/>
    </row>
    <row r="42" customFormat="false" ht="15" hidden="false" customHeight="false" outlineLevel="0" collapsed="false">
      <c r="B42" s="10" t="s">
        <v>202</v>
      </c>
      <c r="C42" s="9" t="n">
        <f aca="false">COUNTIFS($B$14:$B$32,"&lt;&gt;Sécurité",$I$14:$I$32,"&lt;3")</f>
        <v>1</v>
      </c>
    </row>
    <row r="43" customFormat="false" ht="15" hidden="false" customHeight="false" outlineLevel="0" collapsed="false">
      <c r="B43" s="10" t="s">
        <v>203</v>
      </c>
      <c r="C43" s="9" t="n">
        <f aca="false">COUNTIFS($B$14:$B$32,"&lt;&gt;Sécurité",$I$14:$I$32,1)</f>
        <v>0</v>
      </c>
    </row>
    <row r="44" customFormat="false" ht="15" hidden="false" customHeight="false" outlineLevel="0" collapsed="false">
      <c r="B44" s="20" t="s">
        <v>204</v>
      </c>
      <c r="C44" s="21" t="str">
        <f aca="false">IF(COUNT($I$14:$I$32)=0,"",IF(C36&lt;4,"Alerte : point sécurité à reprendre avant tout",IF(C42=0,"Niveau attendu atteint",IF(AND(C42&lt;=2,C43=0),"Plan de progrès ciblé sur 2 à 4 semaines","Alerte : point avec les RH"))))</f>
        <v>Plan de progrès ciblé sur 2 à 4 semaines</v>
      </c>
      <c r="D44" s="21"/>
      <c r="E44" s="21"/>
    </row>
    <row r="45" customFormat="false" ht="15" hidden="false" customHeight="false" outlineLevel="0" collapsed="false">
      <c r="B45" s="20" t="s">
        <v>205</v>
      </c>
      <c r="C45" s="9" t="str">
        <f aca="false">IF(AND(C44="Niveau attendu atteint",ISNUMBER(C41)),IF(C41&gt;=3.5,"À étudier pour le niveau supérieur","Consolider le niveau actuel"),"")</f>
        <v/>
      </c>
      <c r="D45" s="9"/>
      <c r="E45" s="9"/>
    </row>
    <row r="47" customFormat="false" ht="19.5" hidden="false" customHeight="true" outlineLevel="0" collapsed="false">
      <c r="A47" s="3" t="s">
        <v>206</v>
      </c>
      <c r="B47" s="3"/>
      <c r="C47" s="3"/>
      <c r="D47" s="3"/>
      <c r="E47" s="3"/>
      <c r="F47" s="3"/>
      <c r="G47" s="3"/>
      <c r="H47" s="3"/>
      <c r="I47" s="3"/>
      <c r="J47" s="3"/>
    </row>
    <row r="48" customFormat="false" ht="15" hidden="false" customHeight="true" outlineLevel="0" collapsed="false">
      <c r="A48" s="8" t="s">
        <v>207</v>
      </c>
      <c r="B48" s="8" t="s">
        <v>208</v>
      </c>
      <c r="C48" s="8" t="s">
        <v>209</v>
      </c>
      <c r="D48" s="8" t="s">
        <v>210</v>
      </c>
      <c r="E48" s="8" t="s">
        <v>211</v>
      </c>
      <c r="F48" s="8" t="s">
        <v>212</v>
      </c>
      <c r="G48" s="8" t="s">
        <v>213</v>
      </c>
      <c r="H48" s="8"/>
      <c r="I48" s="8"/>
      <c r="J48" s="8"/>
    </row>
    <row r="49" customFormat="false" ht="23.85" hidden="false" customHeight="true" outlineLevel="0" collapsed="false">
      <c r="A49" s="9" t="n">
        <v>1</v>
      </c>
      <c r="B49" s="6" t="s">
        <v>389</v>
      </c>
      <c r="C49" s="6" t="s">
        <v>390</v>
      </c>
      <c r="D49" s="6" t="s">
        <v>391</v>
      </c>
      <c r="E49" s="7" t="n">
        <v>46387</v>
      </c>
      <c r="F49" s="6"/>
      <c r="G49" s="6" t="s">
        <v>392</v>
      </c>
      <c r="H49" s="6"/>
      <c r="I49" s="6"/>
      <c r="J49" s="6"/>
    </row>
    <row r="50" customFormat="false" ht="23.85" hidden="false" customHeight="false" outlineLevel="0" collapsed="false">
      <c r="A50" s="9" t="n">
        <v>2</v>
      </c>
      <c r="B50" s="6" t="s">
        <v>393</v>
      </c>
      <c r="C50" s="6" t="s">
        <v>394</v>
      </c>
      <c r="D50" s="6" t="s">
        <v>395</v>
      </c>
      <c r="E50" s="7" t="n">
        <v>46477</v>
      </c>
      <c r="F50" s="6"/>
      <c r="G50" s="6"/>
      <c r="H50" s="6"/>
      <c r="I50" s="6"/>
      <c r="J50" s="6"/>
    </row>
    <row r="51" customFormat="false" ht="15" hidden="false" customHeight="false" outlineLevel="0" collapsed="false">
      <c r="A51" s="9" t="n">
        <v>3</v>
      </c>
      <c r="B51" s="6"/>
      <c r="C51" s="6"/>
      <c r="D51" s="6"/>
      <c r="E51" s="7"/>
      <c r="F51" s="6"/>
      <c r="G51" s="6"/>
      <c r="H51" s="6"/>
      <c r="I51" s="6"/>
      <c r="J51" s="6"/>
    </row>
    <row r="53" customFormat="false" ht="19.5" hidden="false" customHeight="true" outlineLevel="0" collapsed="false">
      <c r="A53" s="3" t="s">
        <v>214</v>
      </c>
      <c r="B53" s="3"/>
      <c r="C53" s="3"/>
      <c r="D53" s="3"/>
      <c r="E53" s="3"/>
      <c r="F53" s="3"/>
      <c r="G53" s="3"/>
      <c r="H53" s="3"/>
      <c r="I53" s="3"/>
      <c r="J53" s="3"/>
    </row>
    <row r="54" customFormat="false" ht="15" hidden="false" customHeight="true" outlineLevel="0" collapsed="false">
      <c r="A54" s="8" t="s">
        <v>207</v>
      </c>
      <c r="B54" s="8" t="s">
        <v>215</v>
      </c>
      <c r="C54" s="8" t="s">
        <v>216</v>
      </c>
      <c r="D54" s="8" t="s">
        <v>217</v>
      </c>
      <c r="E54" s="8" t="s">
        <v>211</v>
      </c>
      <c r="F54" s="8" t="s">
        <v>218</v>
      </c>
      <c r="G54" s="8"/>
      <c r="H54" s="8"/>
      <c r="I54" s="8"/>
      <c r="J54" s="8"/>
    </row>
    <row r="55" customFormat="false" ht="15" hidden="false" customHeight="true" outlineLevel="0" collapsed="false">
      <c r="A55" s="9" t="n">
        <v>1</v>
      </c>
      <c r="B55" s="6" t="s">
        <v>396</v>
      </c>
      <c r="C55" s="6" t="s">
        <v>397</v>
      </c>
      <c r="D55" s="6" t="s">
        <v>398</v>
      </c>
      <c r="E55" s="7" t="n">
        <v>46387</v>
      </c>
      <c r="F55" s="6" t="s">
        <v>399</v>
      </c>
      <c r="G55" s="6"/>
      <c r="H55" s="6"/>
      <c r="I55" s="6"/>
      <c r="J55" s="6"/>
    </row>
    <row r="56" customFormat="false" ht="35.05" hidden="false" customHeight="false" outlineLevel="0" collapsed="false">
      <c r="A56" s="9" t="n">
        <v>2</v>
      </c>
      <c r="B56" s="6" t="s">
        <v>400</v>
      </c>
      <c r="C56" s="6" t="s">
        <v>401</v>
      </c>
      <c r="D56" s="6" t="s">
        <v>402</v>
      </c>
      <c r="E56" s="7" t="n">
        <v>46418</v>
      </c>
      <c r="F56" s="6"/>
      <c r="G56" s="6"/>
      <c r="H56" s="6"/>
      <c r="I56" s="6"/>
      <c r="J56" s="6"/>
    </row>
    <row r="57" customFormat="false" ht="15" hidden="false" customHeight="false" outlineLevel="0" collapsed="false">
      <c r="A57" s="9" t="n">
        <v>3</v>
      </c>
      <c r="B57" s="6"/>
      <c r="C57" s="6"/>
      <c r="D57" s="6"/>
      <c r="E57" s="7"/>
      <c r="F57" s="6"/>
      <c r="G57" s="6"/>
      <c r="H57" s="6"/>
      <c r="I57" s="6"/>
      <c r="J57" s="6"/>
    </row>
    <row r="59" customFormat="false" ht="19.5" hidden="false" customHeight="true" outlineLevel="0" collapsed="false">
      <c r="A59" s="3" t="s">
        <v>219</v>
      </c>
      <c r="B59" s="3"/>
      <c r="C59" s="3"/>
      <c r="D59" s="3"/>
      <c r="E59" s="3"/>
      <c r="F59" s="3"/>
      <c r="G59" s="3"/>
      <c r="H59" s="3"/>
      <c r="I59" s="3"/>
      <c r="J59" s="3"/>
    </row>
    <row r="60" customFormat="false" ht="45" hidden="false" customHeight="true" outlineLevel="0" collapsed="false">
      <c r="B60" s="4" t="s">
        <v>220</v>
      </c>
      <c r="C60" s="6"/>
      <c r="D60" s="6"/>
      <c r="E60" s="6"/>
      <c r="F60" s="6"/>
      <c r="G60" s="6"/>
      <c r="H60" s="6"/>
      <c r="I60" s="6"/>
      <c r="J60" s="6"/>
    </row>
    <row r="61" customFormat="false" ht="45" hidden="false" customHeight="true" outlineLevel="0" collapsed="false">
      <c r="B61" s="4" t="s">
        <v>221</v>
      </c>
      <c r="C61" s="6"/>
      <c r="D61" s="6"/>
      <c r="E61" s="6"/>
      <c r="F61" s="6"/>
      <c r="G61" s="6"/>
      <c r="H61" s="6"/>
      <c r="I61" s="6"/>
      <c r="J61" s="6"/>
    </row>
    <row r="63" customFormat="false" ht="34.5" hidden="false" customHeight="true" outlineLevel="0" collapsed="false">
      <c r="B63" s="4" t="s">
        <v>222</v>
      </c>
      <c r="C63" s="6"/>
      <c r="D63" s="6"/>
      <c r="E63" s="6"/>
      <c r="F63" s="4" t="s">
        <v>223</v>
      </c>
      <c r="G63" s="6"/>
      <c r="H63" s="6"/>
      <c r="I63" s="6"/>
      <c r="J63" s="6"/>
    </row>
  </sheetData>
  <mergeCells count="31">
    <mergeCell ref="A4:J4"/>
    <mergeCell ref="C5:D5"/>
    <mergeCell ref="C6:D6"/>
    <mergeCell ref="C7:D7"/>
    <mergeCell ref="C8:D8"/>
    <mergeCell ref="C9:D9"/>
    <mergeCell ref="C10:D10"/>
    <mergeCell ref="A12:J12"/>
    <mergeCell ref="A34:J34"/>
    <mergeCell ref="G36:J36"/>
    <mergeCell ref="G37:J37"/>
    <mergeCell ref="G38:J38"/>
    <mergeCell ref="G39:J39"/>
    <mergeCell ref="G40:J40"/>
    <mergeCell ref="C44:E44"/>
    <mergeCell ref="C45:E45"/>
    <mergeCell ref="A47:J47"/>
    <mergeCell ref="G48:J48"/>
    <mergeCell ref="G49:J49"/>
    <mergeCell ref="G50:J50"/>
    <mergeCell ref="G51:J51"/>
    <mergeCell ref="A53:J53"/>
    <mergeCell ref="F54:J54"/>
    <mergeCell ref="F55:J55"/>
    <mergeCell ref="F56:J56"/>
    <mergeCell ref="F57:J57"/>
    <mergeCell ref="A59:J59"/>
    <mergeCell ref="C60:J60"/>
    <mergeCell ref="C61:J61"/>
    <mergeCell ref="C63:E63"/>
    <mergeCell ref="G63:J63"/>
  </mergeCells>
  <conditionalFormatting sqref="I14:I32">
    <cfRule type="cellIs" priority="2" operator="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2</formula>
    </cfRule>
    <cfRule type="cellIs" priority="4" operator="equal" aboveAverage="0" equalAverage="0" bottom="0" percent="0" rank="0" text="" dxfId="2">
      <formula>3</formula>
    </cfRule>
    <cfRule type="cellIs" priority="5" operator="equal" aboveAverage="0" equalAverage="0" bottom="0" percent="0" rank="0" text="" dxfId="3">
      <formula>4</formula>
    </cfRule>
  </conditionalFormatting>
  <conditionalFormatting sqref="C44">
    <cfRule type="expression" priority="6" aboveAverage="0" equalAverage="0" bottom="0" percent="0" rank="0" text="" dxfId="0">
      <formula>LEFT(C44,6)="Alerte"</formula>
    </cfRule>
    <cfRule type="expression" priority="7" aboveAverage="0" equalAverage="0" bottom="0" percent="0" rank="0" text="" dxfId="1">
      <formula>LEFT(C44,4)="Plan"</formula>
    </cfRule>
    <cfRule type="expression" priority="8" aboveAverage="0" equalAverage="0" bottom="0" percent="0" rank="0" text="" dxfId="2">
      <formula>OR(LEFT(C44,6)="Niveau",LEFT(C44,8)="Attentes",LEFT(C44,6)="Au-del")</formula>
    </cfRule>
  </conditionalFormatting>
  <dataValidations count="4">
    <dataValidation allowBlank="true" errorStyle="stop" operator="between" showDropDown="false" showErrorMessage="false" showInputMessage="false" sqref="C6" type="list">
      <formula1>"1. Préparateur,2. Préparateur confirmé,3. Tuteur ou référent de zone"</formula1>
      <formula2>0</formula2>
    </dataValidation>
    <dataValidation allowBlank="true" errorStyle="stop" operator="between" showDropDown="false" showErrorMessage="false" showInputMessage="false" sqref="I14:I32" type="list">
      <formula1>"1,2,3,4,N/A"</formula1>
      <formula2>0</formula2>
    </dataValidation>
    <dataValidation allowBlank="true" errorStyle="stop" operator="between" showDropDown="false" showErrorMessage="false" showInputMessage="false" sqref="F49:F51" type="list">
      <formula1>"Atteint,Partiellement atteint,Non atteint"</formula1>
      <formula2>0</formula2>
    </dataValidation>
    <dataValidation allowBlank="true" errorStyle="stop" operator="between" showDropDown="false" showErrorMessage="false" showInputMessage="false" sqref="C55:C57" type="list">
      <formula1>"Formation,Tutorat,Mission,Changement de poste,Autre"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J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8" min="5" style="0" width="26"/>
    <col collapsed="false" customWidth="true" hidden="false" outlineLevel="0" max="9" min="9" style="0" width="9"/>
    <col collapsed="false" customWidth="true" hidden="false" outlineLevel="0" max="10" min="10" style="0" width="36"/>
  </cols>
  <sheetData>
    <row r="1" customFormat="false" ht="19.7" hidden="false" customHeight="false" outlineLevel="0" collapsed="false">
      <c r="A1" s="1" t="s">
        <v>224</v>
      </c>
    </row>
    <row r="2" customFormat="false" ht="15" hidden="false" customHeight="false" outlineLevel="0" collapsed="false">
      <c r="A2" s="2" t="s">
        <v>225</v>
      </c>
    </row>
    <row r="4" customFormat="false" ht="19.5" hidden="false" customHeight="true" outlineLevel="0" collapsed="false">
      <c r="A4" s="3" t="s">
        <v>55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true" outlineLevel="0" collapsed="false">
      <c r="B5" s="4" t="s">
        <v>56</v>
      </c>
      <c r="C5" s="6" t="s">
        <v>403</v>
      </c>
      <c r="D5" s="6"/>
    </row>
    <row r="6" customFormat="false" ht="15" hidden="false" customHeight="true" outlineLevel="0" collapsed="false">
      <c r="B6" s="4" t="s">
        <v>57</v>
      </c>
      <c r="C6" s="6" t="s">
        <v>404</v>
      </c>
      <c r="D6" s="6"/>
    </row>
    <row r="7" customFormat="false" ht="15" hidden="false" customHeight="true" outlineLevel="0" collapsed="false">
      <c r="B7" s="4" t="s">
        <v>58</v>
      </c>
      <c r="C7" s="6" t="s">
        <v>380</v>
      </c>
      <c r="D7" s="6"/>
    </row>
    <row r="8" customFormat="false" ht="15" hidden="false" customHeight="true" outlineLevel="0" collapsed="false">
      <c r="B8" s="4" t="s">
        <v>59</v>
      </c>
      <c r="C8" s="6" t="s">
        <v>405</v>
      </c>
      <c r="D8" s="6"/>
    </row>
    <row r="9" customFormat="false" ht="15" hidden="false" customHeight="false" outlineLevel="0" collapsed="false">
      <c r="B9" s="4" t="s">
        <v>60</v>
      </c>
      <c r="C9" s="7" t="n">
        <v>46297</v>
      </c>
      <c r="D9" s="7"/>
    </row>
    <row r="10" customFormat="false" ht="15" hidden="false" customHeight="true" outlineLevel="0" collapsed="false">
      <c r="B10" s="4" t="s">
        <v>61</v>
      </c>
      <c r="C10" s="6" t="s">
        <v>382</v>
      </c>
      <c r="D10" s="6"/>
    </row>
    <row r="12" customFormat="false" ht="19.5" hidden="false" customHeight="true" outlineLevel="0" collapsed="false">
      <c r="A12" s="3" t="s">
        <v>226</v>
      </c>
      <c r="B12" s="3"/>
      <c r="C12" s="3"/>
      <c r="D12" s="3"/>
      <c r="E12" s="3"/>
      <c r="F12" s="3"/>
      <c r="G12" s="3"/>
      <c r="H12" s="3"/>
      <c r="I12" s="3"/>
      <c r="J12" s="3"/>
    </row>
    <row r="13" customFormat="false" ht="15" hidden="false" customHeight="false" outlineLevel="0" collapsed="false">
      <c r="A13" s="8" t="s">
        <v>63</v>
      </c>
      <c r="B13" s="8" t="s">
        <v>227</v>
      </c>
      <c r="C13" s="8" t="s">
        <v>209</v>
      </c>
      <c r="D13" s="8" t="s">
        <v>228</v>
      </c>
      <c r="E13" s="8" t="s">
        <v>229</v>
      </c>
      <c r="F13" s="8" t="s">
        <v>210</v>
      </c>
      <c r="G13" s="8" t="s">
        <v>230</v>
      </c>
      <c r="H13" s="8" t="s">
        <v>231</v>
      </c>
      <c r="I13" s="8" t="s">
        <v>67</v>
      </c>
      <c r="J13" s="8" t="s">
        <v>232</v>
      </c>
    </row>
    <row r="14" customFormat="false" ht="30" hidden="false" customHeight="true" outlineLevel="0" collapsed="false">
      <c r="A14" s="9" t="s">
        <v>233</v>
      </c>
      <c r="B14" s="5" t="s">
        <v>38</v>
      </c>
      <c r="C14" s="10" t="s">
        <v>234</v>
      </c>
      <c r="D14" s="9" t="s">
        <v>235</v>
      </c>
      <c r="E14" s="9" t="s">
        <v>236</v>
      </c>
      <c r="F14" s="22" t="n">
        <v>0</v>
      </c>
      <c r="G14" s="22" t="n">
        <v>0</v>
      </c>
      <c r="H14" s="23" t="n">
        <f aca="false">IF(AND(ISNUMBER(F14),ISNUMBER(G14)),G14-F14,"")</f>
        <v>0</v>
      </c>
      <c r="I14" s="11" t="n">
        <v>4</v>
      </c>
      <c r="J14" s="6"/>
    </row>
    <row r="15" customFormat="false" ht="30" hidden="false" customHeight="true" outlineLevel="0" collapsed="false">
      <c r="A15" s="9" t="s">
        <v>237</v>
      </c>
      <c r="B15" s="5" t="s">
        <v>38</v>
      </c>
      <c r="C15" s="10" t="s">
        <v>238</v>
      </c>
      <c r="D15" s="9" t="s">
        <v>235</v>
      </c>
      <c r="E15" s="9" t="s">
        <v>239</v>
      </c>
      <c r="F15" s="22" t="n">
        <v>10</v>
      </c>
      <c r="G15" s="22" t="n">
        <v>14</v>
      </c>
      <c r="H15" s="23" t="n">
        <f aca="false">IF(AND(ISNUMBER(F15),ISNUMBER(G15)),G15-F15,"")</f>
        <v>4</v>
      </c>
      <c r="I15" s="11" t="n">
        <v>4</v>
      </c>
      <c r="J15" s="6"/>
    </row>
    <row r="16" customFormat="false" ht="30" hidden="false" customHeight="true" outlineLevel="0" collapsed="false">
      <c r="A16" s="9" t="s">
        <v>240</v>
      </c>
      <c r="B16" s="5" t="s">
        <v>38</v>
      </c>
      <c r="C16" s="10" t="s">
        <v>241</v>
      </c>
      <c r="D16" s="9" t="s">
        <v>235</v>
      </c>
      <c r="E16" s="9" t="s">
        <v>239</v>
      </c>
      <c r="F16" s="22" t="n">
        <v>24</v>
      </c>
      <c r="G16" s="22" t="n">
        <v>20</v>
      </c>
      <c r="H16" s="23" t="n">
        <f aca="false">IF(AND(ISNUMBER(F16),ISNUMBER(G16)),G16-F16,"")</f>
        <v>-4</v>
      </c>
      <c r="I16" s="11" t="n">
        <v>2</v>
      </c>
      <c r="J16" s="6"/>
    </row>
    <row r="17" customFormat="false" ht="30" hidden="false" customHeight="true" outlineLevel="0" collapsed="false">
      <c r="A17" s="9" t="s">
        <v>242</v>
      </c>
      <c r="B17" s="5" t="s">
        <v>243</v>
      </c>
      <c r="C17" s="10" t="s">
        <v>244</v>
      </c>
      <c r="D17" s="9" t="s">
        <v>245</v>
      </c>
      <c r="E17" s="9" t="s">
        <v>239</v>
      </c>
      <c r="F17" s="24" t="n">
        <v>0.98</v>
      </c>
      <c r="G17" s="24" t="n">
        <v>0.985</v>
      </c>
      <c r="H17" s="25" t="n">
        <f aca="false">IF(AND(ISNUMBER(F17),ISNUMBER(G17)),G17-F17,"")</f>
        <v>0.005</v>
      </c>
      <c r="I17" s="11" t="n">
        <v>3</v>
      </c>
      <c r="J17" s="6"/>
    </row>
    <row r="18" customFormat="false" ht="30" hidden="false" customHeight="true" outlineLevel="0" collapsed="false">
      <c r="A18" s="9" t="s">
        <v>246</v>
      </c>
      <c r="B18" s="5" t="s">
        <v>243</v>
      </c>
      <c r="C18" s="10" t="s">
        <v>247</v>
      </c>
      <c r="D18" s="9" t="s">
        <v>245</v>
      </c>
      <c r="E18" s="9" t="s">
        <v>236</v>
      </c>
      <c r="F18" s="26" t="n">
        <v>0.005</v>
      </c>
      <c r="G18" s="26" t="n">
        <v>0.004</v>
      </c>
      <c r="H18" s="27" t="n">
        <f aca="false">IF(AND(ISNUMBER(F18),ISNUMBER(G18)),G18-F18,"")</f>
        <v>-0.001</v>
      </c>
      <c r="I18" s="11" t="n">
        <v>3</v>
      </c>
      <c r="J18" s="6"/>
    </row>
    <row r="19" customFormat="false" ht="30" hidden="false" customHeight="true" outlineLevel="0" collapsed="false">
      <c r="A19" s="9" t="s">
        <v>248</v>
      </c>
      <c r="B19" s="5" t="s">
        <v>243</v>
      </c>
      <c r="C19" s="10" t="s">
        <v>249</v>
      </c>
      <c r="D19" s="9" t="s">
        <v>245</v>
      </c>
      <c r="E19" s="9" t="s">
        <v>236</v>
      </c>
      <c r="F19" s="24" t="n">
        <v>0.02</v>
      </c>
      <c r="G19" s="24" t="n">
        <v>0.025</v>
      </c>
      <c r="H19" s="25" t="n">
        <f aca="false">IF(AND(ISNUMBER(F19),ISNUMBER(G19)),G19-F19,"")</f>
        <v>0.005</v>
      </c>
      <c r="I19" s="11" t="n">
        <v>2</v>
      </c>
      <c r="J19" s="6"/>
    </row>
    <row r="20" customFormat="false" ht="30" hidden="false" customHeight="true" outlineLevel="0" collapsed="false">
      <c r="A20" s="9" t="s">
        <v>250</v>
      </c>
      <c r="B20" s="5" t="s">
        <v>251</v>
      </c>
      <c r="C20" s="10" t="s">
        <v>252</v>
      </c>
      <c r="D20" s="9" t="s">
        <v>253</v>
      </c>
      <c r="E20" s="9" t="s">
        <v>239</v>
      </c>
      <c r="F20" s="16" t="n">
        <v>1</v>
      </c>
      <c r="G20" s="16" t="n">
        <v>1.02</v>
      </c>
      <c r="H20" s="28" t="n">
        <f aca="false">IF(AND(ISNUMBER(F20),ISNUMBER(G20)),G20-F20,"")</f>
        <v>0.02</v>
      </c>
      <c r="I20" s="11" t="n">
        <v>3</v>
      </c>
      <c r="J20" s="6"/>
    </row>
    <row r="21" customFormat="false" ht="30" hidden="false" customHeight="true" outlineLevel="0" collapsed="false">
      <c r="A21" s="9" t="s">
        <v>254</v>
      </c>
      <c r="B21" s="5" t="s">
        <v>251</v>
      </c>
      <c r="C21" s="10" t="s">
        <v>255</v>
      </c>
      <c r="D21" s="9" t="s">
        <v>245</v>
      </c>
      <c r="E21" s="9" t="s">
        <v>239</v>
      </c>
      <c r="F21" s="24" t="n">
        <v>0.97</v>
      </c>
      <c r="G21" s="24" t="n">
        <v>0.95</v>
      </c>
      <c r="H21" s="25" t="n">
        <f aca="false">IF(AND(ISNUMBER(F21),ISNUMBER(G21)),G21-F21,"")</f>
        <v>-0.02</v>
      </c>
      <c r="I21" s="11" t="n">
        <v>2</v>
      </c>
      <c r="J21" s="6"/>
    </row>
    <row r="22" customFormat="false" ht="30" hidden="false" customHeight="true" outlineLevel="0" collapsed="false">
      <c r="A22" s="9" t="s">
        <v>256</v>
      </c>
      <c r="B22" s="5" t="s">
        <v>251</v>
      </c>
      <c r="C22" s="10" t="s">
        <v>257</v>
      </c>
      <c r="D22" s="9" t="s">
        <v>258</v>
      </c>
      <c r="E22" s="9" t="s">
        <v>236</v>
      </c>
      <c r="F22" s="22" t="n">
        <v>30</v>
      </c>
      <c r="G22" s="22" t="n">
        <v>22</v>
      </c>
      <c r="H22" s="23" t="n">
        <f aca="false">IF(AND(ISNUMBER(F22),ISNUMBER(G22)),G22-F22,"")</f>
        <v>-8</v>
      </c>
      <c r="I22" s="11" t="n">
        <v>4</v>
      </c>
      <c r="J22" s="6"/>
    </row>
    <row r="23" customFormat="false" ht="30" hidden="false" customHeight="true" outlineLevel="0" collapsed="false">
      <c r="A23" s="9" t="s">
        <v>259</v>
      </c>
      <c r="B23" s="5" t="s">
        <v>260</v>
      </c>
      <c r="C23" s="10" t="s">
        <v>261</v>
      </c>
      <c r="D23" s="9" t="s">
        <v>245</v>
      </c>
      <c r="E23" s="9" t="s">
        <v>239</v>
      </c>
      <c r="F23" s="16" t="n">
        <v>0.6</v>
      </c>
      <c r="G23" s="16" t="n">
        <v>0.55</v>
      </c>
      <c r="H23" s="28" t="n">
        <f aca="false">IF(AND(ISNUMBER(F23),ISNUMBER(G23)),G23-F23,"")</f>
        <v>-0.0499999999999999</v>
      </c>
      <c r="I23" s="11" t="n">
        <v>2</v>
      </c>
      <c r="J23" s="6"/>
    </row>
    <row r="24" customFormat="false" ht="30" hidden="false" customHeight="true" outlineLevel="0" collapsed="false">
      <c r="A24" s="9" t="s">
        <v>262</v>
      </c>
      <c r="B24" s="5" t="s">
        <v>260</v>
      </c>
      <c r="C24" s="10" t="s">
        <v>263</v>
      </c>
      <c r="D24" s="9" t="s">
        <v>245</v>
      </c>
      <c r="E24" s="9" t="s">
        <v>236</v>
      </c>
      <c r="F24" s="24" t="n">
        <v>0.05</v>
      </c>
      <c r="G24" s="24" t="n">
        <v>0.045</v>
      </c>
      <c r="H24" s="25" t="n">
        <f aca="false">IF(AND(ISNUMBER(F24),ISNUMBER(G24)),G24-F24,"")</f>
        <v>-0.005</v>
      </c>
      <c r="I24" s="11" t="n">
        <v>3</v>
      </c>
      <c r="J24" s="6"/>
    </row>
    <row r="25" customFormat="false" ht="30" hidden="false" customHeight="true" outlineLevel="0" collapsed="false">
      <c r="A25" s="9" t="s">
        <v>264</v>
      </c>
      <c r="B25" s="5" t="s">
        <v>260</v>
      </c>
      <c r="C25" s="10" t="s">
        <v>265</v>
      </c>
      <c r="D25" s="9" t="s">
        <v>235</v>
      </c>
      <c r="E25" s="9" t="s">
        <v>236</v>
      </c>
      <c r="F25" s="22" t="n">
        <v>1</v>
      </c>
      <c r="G25" s="22" t="n">
        <v>0</v>
      </c>
      <c r="H25" s="23" t="n">
        <f aca="false">IF(AND(ISNUMBER(F25),ISNUMBER(G25)),G25-F25,"")</f>
        <v>-1</v>
      </c>
      <c r="I25" s="11" t="n">
        <v>4</v>
      </c>
      <c r="J25" s="6"/>
    </row>
    <row r="26" customFormat="false" ht="30" hidden="false" customHeight="true" outlineLevel="0" collapsed="false">
      <c r="A26" s="9" t="s">
        <v>266</v>
      </c>
      <c r="B26" s="5" t="s">
        <v>260</v>
      </c>
      <c r="C26" s="10" t="s">
        <v>267</v>
      </c>
      <c r="D26" s="9" t="s">
        <v>235</v>
      </c>
      <c r="E26" s="9" t="s">
        <v>239</v>
      </c>
      <c r="F26" s="22" t="n">
        <v>12</v>
      </c>
      <c r="G26" s="22" t="n">
        <v>15</v>
      </c>
      <c r="H26" s="23" t="n">
        <f aca="false">IF(AND(ISNUMBER(F26),ISNUMBER(G26)),G26-F26,"")</f>
        <v>3</v>
      </c>
      <c r="I26" s="11" t="n">
        <v>4</v>
      </c>
      <c r="J26" s="6"/>
    </row>
    <row r="28" customFormat="false" ht="19.5" hidden="false" customHeight="true" outlineLevel="0" collapsed="false">
      <c r="A28" s="3" t="s">
        <v>268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" hidden="false" customHeight="true" outlineLevel="0" collapsed="false">
      <c r="A29" s="8" t="s">
        <v>63</v>
      </c>
      <c r="B29" s="8" t="s">
        <v>64</v>
      </c>
      <c r="C29" s="8" t="s">
        <v>65</v>
      </c>
      <c r="D29" s="8"/>
      <c r="E29" s="8" t="s">
        <v>25</v>
      </c>
      <c r="F29" s="8" t="s">
        <v>27</v>
      </c>
      <c r="G29" s="8" t="s">
        <v>29</v>
      </c>
      <c r="H29" s="8" t="s">
        <v>31</v>
      </c>
      <c r="I29" s="8" t="s">
        <v>67</v>
      </c>
      <c r="J29" s="8" t="s">
        <v>68</v>
      </c>
    </row>
    <row r="30" customFormat="false" ht="48" hidden="false" customHeight="true" outlineLevel="0" collapsed="false">
      <c r="A30" s="9" t="s">
        <v>269</v>
      </c>
      <c r="B30" s="5" t="s">
        <v>38</v>
      </c>
      <c r="C30" s="10" t="s">
        <v>270</v>
      </c>
      <c r="D30" s="10"/>
      <c r="E30" s="5" t="s">
        <v>271</v>
      </c>
      <c r="F30" s="5" t="s">
        <v>272</v>
      </c>
      <c r="G30" s="5" t="s">
        <v>273</v>
      </c>
      <c r="H30" s="5" t="s">
        <v>274</v>
      </c>
      <c r="I30" s="11" t="n">
        <v>3</v>
      </c>
      <c r="J30" s="6"/>
    </row>
    <row r="31" customFormat="false" ht="48" hidden="false" customHeight="true" outlineLevel="0" collapsed="false">
      <c r="A31" s="9" t="s">
        <v>275</v>
      </c>
      <c r="B31" s="5" t="s">
        <v>276</v>
      </c>
      <c r="C31" s="10" t="s">
        <v>277</v>
      </c>
      <c r="D31" s="10"/>
      <c r="E31" s="5" t="s">
        <v>278</v>
      </c>
      <c r="F31" s="5" t="s">
        <v>279</v>
      </c>
      <c r="G31" s="5" t="s">
        <v>280</v>
      </c>
      <c r="H31" s="5" t="s">
        <v>281</v>
      </c>
      <c r="I31" s="11" t="n">
        <v>3</v>
      </c>
      <c r="J31" s="6"/>
    </row>
    <row r="32" customFormat="false" ht="48" hidden="false" customHeight="true" outlineLevel="0" collapsed="false">
      <c r="A32" s="9" t="s">
        <v>282</v>
      </c>
      <c r="B32" s="5" t="s">
        <v>276</v>
      </c>
      <c r="C32" s="10" t="s">
        <v>283</v>
      </c>
      <c r="D32" s="10"/>
      <c r="E32" s="5" t="s">
        <v>284</v>
      </c>
      <c r="F32" s="5" t="s">
        <v>285</v>
      </c>
      <c r="G32" s="5" t="s">
        <v>286</v>
      </c>
      <c r="H32" s="5" t="s">
        <v>287</v>
      </c>
      <c r="I32" s="11" t="n">
        <v>2</v>
      </c>
      <c r="J32" s="6" t="s">
        <v>406</v>
      </c>
    </row>
    <row r="33" customFormat="false" ht="48" hidden="false" customHeight="true" outlineLevel="0" collapsed="false">
      <c r="A33" s="9" t="s">
        <v>288</v>
      </c>
      <c r="B33" s="5" t="s">
        <v>276</v>
      </c>
      <c r="C33" s="10" t="s">
        <v>289</v>
      </c>
      <c r="D33" s="10"/>
      <c r="E33" s="5" t="s">
        <v>290</v>
      </c>
      <c r="F33" s="5" t="s">
        <v>291</v>
      </c>
      <c r="G33" s="5" t="s">
        <v>292</v>
      </c>
      <c r="H33" s="5" t="s">
        <v>293</v>
      </c>
      <c r="I33" s="11" t="n">
        <v>3</v>
      </c>
      <c r="J33" s="6"/>
    </row>
    <row r="34" customFormat="false" ht="48" hidden="false" customHeight="true" outlineLevel="0" collapsed="false">
      <c r="A34" s="9" t="s">
        <v>294</v>
      </c>
      <c r="B34" s="5" t="s">
        <v>295</v>
      </c>
      <c r="C34" s="10" t="s">
        <v>296</v>
      </c>
      <c r="D34" s="10"/>
      <c r="E34" s="5" t="s">
        <v>297</v>
      </c>
      <c r="F34" s="5" t="s">
        <v>298</v>
      </c>
      <c r="G34" s="5" t="s">
        <v>299</v>
      </c>
      <c r="H34" s="5" t="s">
        <v>300</v>
      </c>
      <c r="I34" s="11" t="n">
        <v>3</v>
      </c>
      <c r="J34" s="6"/>
    </row>
    <row r="35" customFormat="false" ht="48" hidden="false" customHeight="true" outlineLevel="0" collapsed="false">
      <c r="A35" s="9" t="s">
        <v>301</v>
      </c>
      <c r="B35" s="5" t="s">
        <v>295</v>
      </c>
      <c r="C35" s="10" t="s">
        <v>302</v>
      </c>
      <c r="D35" s="10"/>
      <c r="E35" s="5" t="s">
        <v>303</v>
      </c>
      <c r="F35" s="5" t="s">
        <v>304</v>
      </c>
      <c r="G35" s="5" t="s">
        <v>305</v>
      </c>
      <c r="H35" s="5" t="s">
        <v>306</v>
      </c>
      <c r="I35" s="11" t="n">
        <v>3</v>
      </c>
      <c r="J35" s="6"/>
    </row>
    <row r="36" customFormat="false" ht="48" hidden="false" customHeight="true" outlineLevel="0" collapsed="false">
      <c r="A36" s="9" t="s">
        <v>307</v>
      </c>
      <c r="B36" s="5" t="s">
        <v>295</v>
      </c>
      <c r="C36" s="10" t="s">
        <v>308</v>
      </c>
      <c r="D36" s="10"/>
      <c r="E36" s="5" t="s">
        <v>309</v>
      </c>
      <c r="F36" s="5" t="s">
        <v>310</v>
      </c>
      <c r="G36" s="5" t="s">
        <v>311</v>
      </c>
      <c r="H36" s="5" t="s">
        <v>312</v>
      </c>
      <c r="I36" s="11" t="n">
        <v>4</v>
      </c>
      <c r="J36" s="6" t="s">
        <v>407</v>
      </c>
    </row>
    <row r="37" customFormat="false" ht="48" hidden="false" customHeight="true" outlineLevel="0" collapsed="false">
      <c r="A37" s="9" t="s">
        <v>313</v>
      </c>
      <c r="B37" s="5" t="s">
        <v>295</v>
      </c>
      <c r="C37" s="10" t="s">
        <v>314</v>
      </c>
      <c r="D37" s="10"/>
      <c r="E37" s="5" t="s">
        <v>315</v>
      </c>
      <c r="F37" s="5" t="s">
        <v>316</v>
      </c>
      <c r="G37" s="5" t="s">
        <v>317</v>
      </c>
      <c r="H37" s="5" t="s">
        <v>318</v>
      </c>
      <c r="I37" s="11" t="n">
        <v>3</v>
      </c>
      <c r="J37" s="6"/>
    </row>
    <row r="38" customFormat="false" ht="48" hidden="false" customHeight="true" outlineLevel="0" collapsed="false">
      <c r="A38" s="9" t="s">
        <v>319</v>
      </c>
      <c r="B38" s="5" t="s">
        <v>295</v>
      </c>
      <c r="C38" s="10" t="s">
        <v>320</v>
      </c>
      <c r="D38" s="10"/>
      <c r="E38" s="5" t="s">
        <v>321</v>
      </c>
      <c r="F38" s="5" t="s">
        <v>322</v>
      </c>
      <c r="G38" s="5" t="s">
        <v>323</v>
      </c>
      <c r="H38" s="5" t="s">
        <v>324</v>
      </c>
      <c r="I38" s="11" t="n">
        <v>2</v>
      </c>
      <c r="J38" s="6" t="s">
        <v>408</v>
      </c>
    </row>
    <row r="39" customFormat="false" ht="48" hidden="false" customHeight="true" outlineLevel="0" collapsed="false">
      <c r="A39" s="9" t="s">
        <v>325</v>
      </c>
      <c r="B39" s="5" t="s">
        <v>295</v>
      </c>
      <c r="C39" s="10" t="s">
        <v>326</v>
      </c>
      <c r="D39" s="10"/>
      <c r="E39" s="5" t="s">
        <v>327</v>
      </c>
      <c r="F39" s="5" t="s">
        <v>328</v>
      </c>
      <c r="G39" s="5" t="s">
        <v>329</v>
      </c>
      <c r="H39" s="5" t="s">
        <v>330</v>
      </c>
      <c r="I39" s="11" t="n">
        <v>3</v>
      </c>
      <c r="J39" s="6"/>
    </row>
    <row r="40" customFormat="false" ht="48" hidden="false" customHeight="true" outlineLevel="0" collapsed="false">
      <c r="A40" s="9" t="s">
        <v>331</v>
      </c>
      <c r="B40" s="5" t="s">
        <v>171</v>
      </c>
      <c r="C40" s="10" t="s">
        <v>332</v>
      </c>
      <c r="D40" s="10"/>
      <c r="E40" s="5" t="s">
        <v>333</v>
      </c>
      <c r="F40" s="5" t="s">
        <v>334</v>
      </c>
      <c r="G40" s="5" t="s">
        <v>335</v>
      </c>
      <c r="H40" s="5" t="s">
        <v>336</v>
      </c>
      <c r="I40" s="11" t="n">
        <v>2</v>
      </c>
      <c r="J40" s="6" t="s">
        <v>409</v>
      </c>
    </row>
    <row r="41" customFormat="false" ht="48" hidden="false" customHeight="true" outlineLevel="0" collapsed="false">
      <c r="A41" s="9" t="s">
        <v>337</v>
      </c>
      <c r="B41" s="5" t="s">
        <v>171</v>
      </c>
      <c r="C41" s="10" t="s">
        <v>338</v>
      </c>
      <c r="D41" s="10"/>
      <c r="E41" s="5" t="s">
        <v>339</v>
      </c>
      <c r="F41" s="5" t="s">
        <v>340</v>
      </c>
      <c r="G41" s="5" t="s">
        <v>341</v>
      </c>
      <c r="H41" s="5" t="s">
        <v>342</v>
      </c>
      <c r="I41" s="11" t="n">
        <v>3</v>
      </c>
      <c r="J41" s="6"/>
    </row>
    <row r="43" customFormat="false" ht="19.5" hidden="false" customHeight="true" outlineLevel="0" collapsed="false">
      <c r="A43" s="3" t="s">
        <v>343</v>
      </c>
      <c r="B43" s="3"/>
      <c r="C43" s="3"/>
      <c r="D43" s="3"/>
      <c r="E43" s="3"/>
      <c r="F43" s="3"/>
      <c r="G43" s="3"/>
      <c r="H43" s="3"/>
      <c r="I43" s="3"/>
      <c r="J43" s="3"/>
    </row>
    <row r="44" customFormat="false" ht="15" hidden="false" customHeight="true" outlineLevel="0" collapsed="false">
      <c r="A44" s="8" t="s">
        <v>63</v>
      </c>
      <c r="B44" s="8" t="s">
        <v>344</v>
      </c>
      <c r="C44" s="8"/>
      <c r="D44" s="8"/>
      <c r="E44" s="8"/>
      <c r="F44" s="8"/>
      <c r="G44" s="8"/>
      <c r="H44" s="8"/>
      <c r="I44" s="8" t="s">
        <v>345</v>
      </c>
      <c r="J44" s="8" t="s">
        <v>346</v>
      </c>
    </row>
    <row r="45" customFormat="false" ht="15" hidden="false" customHeight="true" outlineLevel="0" collapsed="false">
      <c r="A45" s="9" t="s">
        <v>88</v>
      </c>
      <c r="B45" s="5" t="s">
        <v>347</v>
      </c>
      <c r="C45" s="5"/>
      <c r="D45" s="5"/>
      <c r="E45" s="5"/>
      <c r="F45" s="5"/>
      <c r="G45" s="5"/>
      <c r="H45" s="5"/>
      <c r="I45" s="11" t="s">
        <v>410</v>
      </c>
      <c r="J45" s="6"/>
    </row>
    <row r="46" customFormat="false" ht="15" hidden="false" customHeight="true" outlineLevel="0" collapsed="false">
      <c r="A46" s="9" t="s">
        <v>95</v>
      </c>
      <c r="B46" s="5" t="s">
        <v>348</v>
      </c>
      <c r="C46" s="5"/>
      <c r="D46" s="5"/>
      <c r="E46" s="5"/>
      <c r="F46" s="5"/>
      <c r="G46" s="5"/>
      <c r="H46" s="5"/>
      <c r="I46" s="11" t="s">
        <v>411</v>
      </c>
      <c r="J46" s="6"/>
    </row>
    <row r="47" customFormat="false" ht="15" hidden="false" customHeight="true" outlineLevel="0" collapsed="false">
      <c r="A47" s="9" t="s">
        <v>101</v>
      </c>
      <c r="B47" s="5" t="s">
        <v>349</v>
      </c>
      <c r="C47" s="5"/>
      <c r="D47" s="5"/>
      <c r="E47" s="5"/>
      <c r="F47" s="5"/>
      <c r="G47" s="5"/>
      <c r="H47" s="5"/>
      <c r="I47" s="11" t="s">
        <v>410</v>
      </c>
      <c r="J47" s="6"/>
    </row>
    <row r="48" customFormat="false" ht="15" hidden="false" customHeight="true" outlineLevel="0" collapsed="false">
      <c r="A48" s="9" t="s">
        <v>350</v>
      </c>
      <c r="B48" s="5" t="s">
        <v>351</v>
      </c>
      <c r="C48" s="5"/>
      <c r="D48" s="5"/>
      <c r="E48" s="5"/>
      <c r="F48" s="5"/>
      <c r="G48" s="5"/>
      <c r="H48" s="5"/>
      <c r="I48" s="11" t="s">
        <v>410</v>
      </c>
      <c r="J48" s="6"/>
    </row>
    <row r="49" customFormat="false" ht="15" hidden="false" customHeight="true" outlineLevel="0" collapsed="false">
      <c r="A49" s="9" t="s">
        <v>352</v>
      </c>
      <c r="B49" s="5" t="s">
        <v>353</v>
      </c>
      <c r="C49" s="5"/>
      <c r="D49" s="5"/>
      <c r="E49" s="5"/>
      <c r="F49" s="5"/>
      <c r="G49" s="5"/>
      <c r="H49" s="5"/>
      <c r="I49" s="11" t="s">
        <v>410</v>
      </c>
      <c r="J49" s="6"/>
    </row>
    <row r="50" customFormat="false" ht="15" hidden="false" customHeight="true" outlineLevel="0" collapsed="false">
      <c r="A50" s="9" t="s">
        <v>354</v>
      </c>
      <c r="B50" s="5" t="s">
        <v>355</v>
      </c>
      <c r="C50" s="5"/>
      <c r="D50" s="5"/>
      <c r="E50" s="5"/>
      <c r="F50" s="5"/>
      <c r="G50" s="5"/>
      <c r="H50" s="5"/>
      <c r="I50" s="11" t="s">
        <v>411</v>
      </c>
      <c r="J50" s="6"/>
    </row>
    <row r="51" customFormat="false" ht="15" hidden="false" customHeight="true" outlineLevel="0" collapsed="false">
      <c r="B51" s="4" t="s">
        <v>356</v>
      </c>
      <c r="C51" s="29" t="n">
        <f aca="false">IF(COUNTA(I45:I50)=0,"",(COUNTIF(I45:I50,"Oui")+0.5*COUNTIF(I45:I50,"Partiel"))/COUNTA(I45:I50))</f>
        <v>0.833333333333333</v>
      </c>
      <c r="D51" s="30" t="s">
        <v>67</v>
      </c>
      <c r="E51" s="30" t="n">
        <f aca="false">IF(C51="","",IF(C51&gt;=0.9,4,IF(C51&gt;=0.75,3,IF(C51&gt;=0.5,2,1))))</f>
        <v>3</v>
      </c>
      <c r="F51" s="14" t="s">
        <v>357</v>
      </c>
      <c r="G51" s="14"/>
      <c r="H51" s="14"/>
      <c r="I51" s="14"/>
      <c r="J51" s="14"/>
    </row>
    <row r="53" customFormat="false" ht="19.5" hidden="false" customHeight="true" outlineLevel="0" collapsed="false">
      <c r="A53" s="3" t="s">
        <v>358</v>
      </c>
      <c r="B53" s="3"/>
      <c r="C53" s="3"/>
      <c r="D53" s="3"/>
      <c r="E53" s="3"/>
      <c r="F53" s="3"/>
      <c r="G53" s="3"/>
      <c r="H53" s="3"/>
      <c r="I53" s="3"/>
      <c r="J53" s="3"/>
    </row>
    <row r="54" customFormat="false" ht="23.85" hidden="false" customHeight="false" outlineLevel="0" collapsed="false">
      <c r="B54" s="8" t="s">
        <v>359</v>
      </c>
      <c r="C54" s="8" t="s">
        <v>360</v>
      </c>
      <c r="D54" s="8" t="s">
        <v>361</v>
      </c>
      <c r="E54" s="8" t="s">
        <v>362</v>
      </c>
    </row>
    <row r="55" customFormat="false" ht="15" hidden="false" customHeight="true" outlineLevel="0" collapsed="false">
      <c r="B55" s="10" t="s">
        <v>363</v>
      </c>
      <c r="C55" s="11" t="n">
        <v>1</v>
      </c>
      <c r="D55" s="31" t="n">
        <v>3</v>
      </c>
      <c r="E55" s="15" t="n">
        <f aca="false">IF(ISNUMBER(D55),D55,"")</f>
        <v>3</v>
      </c>
      <c r="F55" s="14" t="s">
        <v>364</v>
      </c>
      <c r="G55" s="14"/>
      <c r="H55" s="14"/>
      <c r="I55" s="14"/>
      <c r="J55" s="14"/>
    </row>
    <row r="56" customFormat="false" ht="15" hidden="false" customHeight="false" outlineLevel="0" collapsed="false">
      <c r="B56" s="10" t="s">
        <v>365</v>
      </c>
      <c r="C56" s="11" t="n">
        <v>4</v>
      </c>
      <c r="D56" s="31" t="n">
        <v>3.2</v>
      </c>
      <c r="E56" s="15" t="n">
        <f aca="false">IF(NOT(ISNUMBER(D56)),"",IF(C56&gt;=3,D56,"Non restitué : moins de 3 répondants"))</f>
        <v>3.2</v>
      </c>
      <c r="F56" s="14"/>
      <c r="G56" s="14"/>
      <c r="H56" s="14"/>
      <c r="I56" s="14"/>
      <c r="J56" s="14"/>
    </row>
    <row r="57" customFormat="false" ht="15" hidden="false" customHeight="false" outlineLevel="0" collapsed="false">
      <c r="B57" s="10" t="s">
        <v>366</v>
      </c>
      <c r="C57" s="11" t="n">
        <v>9</v>
      </c>
      <c r="D57" s="31" t="n">
        <v>3.4</v>
      </c>
      <c r="E57" s="15" t="n">
        <f aca="false">IF(NOT(ISNUMBER(D57)),"",IF(C57&gt;=3,D57,"Non restitué : moins de 3 répondants"))</f>
        <v>3.4</v>
      </c>
      <c r="F57" s="14"/>
      <c r="G57" s="14"/>
      <c r="H57" s="14"/>
      <c r="I57" s="14"/>
      <c r="J57" s="14"/>
    </row>
    <row r="58" customFormat="false" ht="15" hidden="false" customHeight="false" outlineLevel="0" collapsed="false">
      <c r="B58" s="4" t="s">
        <v>367</v>
      </c>
      <c r="C58" s="17" t="n">
        <f aca="false">IFERROR(AVERAGE(E55:E57),"")</f>
        <v>3.2</v>
      </c>
    </row>
    <row r="60" customFormat="false" ht="19.5" hidden="false" customHeight="true" outlineLevel="0" collapsed="false">
      <c r="A60" s="3" t="s">
        <v>189</v>
      </c>
      <c r="B60" s="3"/>
      <c r="C60" s="3"/>
      <c r="D60" s="3"/>
      <c r="E60" s="3"/>
      <c r="F60" s="3"/>
      <c r="G60" s="3"/>
      <c r="H60" s="3"/>
      <c r="I60" s="3"/>
      <c r="J60" s="3"/>
    </row>
    <row r="61" customFormat="false" ht="15" hidden="false" customHeight="false" outlineLevel="0" collapsed="false">
      <c r="B61" s="8" t="s">
        <v>64</v>
      </c>
      <c r="C61" s="8" t="s">
        <v>190</v>
      </c>
      <c r="D61" s="8" t="s">
        <v>36</v>
      </c>
      <c r="E61" s="8" t="s">
        <v>191</v>
      </c>
      <c r="G61" s="12" t="s">
        <v>192</v>
      </c>
    </row>
    <row r="62" customFormat="false" ht="15" hidden="false" customHeight="true" outlineLevel="0" collapsed="false">
      <c r="B62" s="10" t="s">
        <v>368</v>
      </c>
      <c r="C62" s="13" t="n">
        <f aca="false">IF(ISNUMBER(I30),I30,"")</f>
        <v>3</v>
      </c>
      <c r="D62" s="9" t="s">
        <v>194</v>
      </c>
      <c r="E62" s="9" t="s">
        <v>369</v>
      </c>
      <c r="G62" s="14" t="s">
        <v>370</v>
      </c>
      <c r="H62" s="14"/>
      <c r="I62" s="14"/>
      <c r="J62" s="14"/>
    </row>
    <row r="63" customFormat="false" ht="15" hidden="false" customHeight="true" outlineLevel="0" collapsed="false">
      <c r="B63" s="10" t="s">
        <v>371</v>
      </c>
      <c r="C63" s="15" t="n">
        <f aca="false">IFERROR(AVERAGE(I14:I26),"")</f>
        <v>3.07692307692308</v>
      </c>
      <c r="D63" s="16" t="n">
        <v>0.35</v>
      </c>
      <c r="E63" s="15" t="n">
        <f aca="false">IF(ISNUMBER(C63),C63*D63,"")</f>
        <v>1.07692307692308</v>
      </c>
      <c r="G63" s="14" t="s">
        <v>372</v>
      </c>
      <c r="H63" s="14"/>
      <c r="I63" s="14"/>
      <c r="J63" s="14"/>
    </row>
    <row r="64" customFormat="false" ht="15" hidden="false" customHeight="true" outlineLevel="0" collapsed="false">
      <c r="B64" s="10" t="s">
        <v>276</v>
      </c>
      <c r="C64" s="15" t="n">
        <f aca="false">IFERROR(AVERAGEIFS($I$30:$I$41,$B$30:$B$41,"Compétences managériales"),"")</f>
        <v>2.66666666666667</v>
      </c>
      <c r="D64" s="16" t="n">
        <v>0.2</v>
      </c>
      <c r="E64" s="15" t="n">
        <f aca="false">IF(ISNUMBER(C64),C64*D64,"")</f>
        <v>0.533333333333333</v>
      </c>
      <c r="G64" s="14" t="s">
        <v>373</v>
      </c>
      <c r="H64" s="14"/>
      <c r="I64" s="14"/>
      <c r="J64" s="14"/>
    </row>
    <row r="65" customFormat="false" ht="15" hidden="false" customHeight="true" outlineLevel="0" collapsed="false">
      <c r="B65" s="10" t="s">
        <v>295</v>
      </c>
      <c r="C65" s="15" t="n">
        <f aca="false">IFERROR(AVERAGEIFS($I$30:$I$41,$B$30:$B$41,"Comportements de leadership"),"")</f>
        <v>3</v>
      </c>
      <c r="D65" s="16" t="n">
        <v>0.2</v>
      </c>
      <c r="E65" s="15" t="n">
        <f aca="false">IF(ISNUMBER(C65),C65*D65,"")</f>
        <v>0.6</v>
      </c>
      <c r="G65" s="14" t="s">
        <v>374</v>
      </c>
      <c r="H65" s="14"/>
      <c r="I65" s="14"/>
      <c r="J65" s="14"/>
    </row>
    <row r="66" customFormat="false" ht="15" hidden="false" customHeight="true" outlineLevel="0" collapsed="false">
      <c r="B66" s="10" t="s">
        <v>171</v>
      </c>
      <c r="C66" s="15" t="n">
        <f aca="false">IFERROR(AVERAGEIFS($I$30:$I$41,$B$30:$B$41,"Amélioration continue"),"")</f>
        <v>2.5</v>
      </c>
      <c r="D66" s="16" t="n">
        <v>0.15</v>
      </c>
      <c r="E66" s="15" t="n">
        <f aca="false">IF(ISNUMBER(C66),C66*D66,"")</f>
        <v>0.375</v>
      </c>
      <c r="G66" s="14" t="s">
        <v>375</v>
      </c>
      <c r="H66" s="14"/>
      <c r="I66" s="14"/>
      <c r="J66" s="14"/>
    </row>
    <row r="67" customFormat="false" ht="15" hidden="false" customHeight="true" outlineLevel="0" collapsed="false">
      <c r="B67" s="10" t="s">
        <v>376</v>
      </c>
      <c r="C67" s="15" t="n">
        <f aca="false">IF(ISNUMBER(E51),E51,"")</f>
        <v>3</v>
      </c>
      <c r="D67" s="16" t="n">
        <v>0.1</v>
      </c>
      <c r="E67" s="15" t="n">
        <f aca="false">IF(ISNUMBER(C67),C67*D67,"")</f>
        <v>0.3</v>
      </c>
      <c r="G67" s="14" t="s">
        <v>377</v>
      </c>
      <c r="H67" s="14"/>
      <c r="I67" s="14"/>
      <c r="J67" s="14"/>
    </row>
    <row r="68" customFormat="false" ht="15" hidden="false" customHeight="false" outlineLevel="0" collapsed="false">
      <c r="B68" s="4" t="s">
        <v>201</v>
      </c>
      <c r="C68" s="17" t="n">
        <f aca="false">IFERROR(SUM(E63:E67)/SUMPRODUCT(--ISNUMBER(C63:C67),D63:D67),"")</f>
        <v>2.88525641025641</v>
      </c>
      <c r="D68" s="18" t="n">
        <f aca="false">SUM(D63:D67)</f>
        <v>1</v>
      </c>
      <c r="E68" s="19"/>
    </row>
    <row r="69" customFormat="false" ht="15" hidden="false" customHeight="false" outlineLevel="0" collapsed="false">
      <c r="B69" s="20" t="s">
        <v>204</v>
      </c>
      <c r="C69" s="21" t="str">
        <f aca="false">IF(C68="","",IF(AND(ISNUMBER(C62),C62&lt;3),"Alerte : leadership sécurité à renforcer en priorité",IF(C68&gt;=3.5,"Au-delà des attentes",IF(C68&gt;=2.75,"Attentes atteintes",IF(C68&gt;=2,"Plan de progrès sur 3 mois","Alerte : accompagnement renforcé")))))</f>
        <v>Attentes atteintes</v>
      </c>
      <c r="D69" s="21"/>
      <c r="E69" s="21"/>
    </row>
    <row r="72" customFormat="false" ht="19.5" hidden="false" customHeight="true" outlineLevel="0" collapsed="false">
      <c r="A72" s="3" t="s">
        <v>206</v>
      </c>
      <c r="B72" s="3"/>
      <c r="C72" s="3"/>
      <c r="D72" s="3"/>
      <c r="E72" s="3"/>
      <c r="F72" s="3"/>
      <c r="G72" s="3"/>
      <c r="H72" s="3"/>
      <c r="I72" s="3"/>
      <c r="J72" s="3"/>
    </row>
    <row r="73" customFormat="false" ht="15" hidden="false" customHeight="true" outlineLevel="0" collapsed="false">
      <c r="A73" s="8" t="s">
        <v>207</v>
      </c>
      <c r="B73" s="8" t="s">
        <v>208</v>
      </c>
      <c r="C73" s="8" t="s">
        <v>209</v>
      </c>
      <c r="D73" s="8" t="s">
        <v>210</v>
      </c>
      <c r="E73" s="8" t="s">
        <v>211</v>
      </c>
      <c r="F73" s="8" t="s">
        <v>212</v>
      </c>
      <c r="G73" s="8" t="s">
        <v>213</v>
      </c>
      <c r="H73" s="8"/>
      <c r="I73" s="8"/>
      <c r="J73" s="8"/>
    </row>
    <row r="74" customFormat="false" ht="23.85" hidden="false" customHeight="false" outlineLevel="0" collapsed="false">
      <c r="A74" s="9" t="n">
        <v>1</v>
      </c>
      <c r="B74" s="6" t="s">
        <v>412</v>
      </c>
      <c r="C74" s="6" t="s">
        <v>413</v>
      </c>
      <c r="D74" s="6" t="s">
        <v>414</v>
      </c>
      <c r="E74" s="7" t="n">
        <v>46477</v>
      </c>
      <c r="F74" s="6"/>
      <c r="G74" s="6"/>
      <c r="H74" s="6"/>
      <c r="I74" s="6"/>
      <c r="J74" s="6"/>
    </row>
    <row r="75" customFormat="false" ht="23.85" hidden="false" customHeight="false" outlineLevel="0" collapsed="false">
      <c r="A75" s="9" t="n">
        <v>2</v>
      </c>
      <c r="B75" s="6" t="s">
        <v>415</v>
      </c>
      <c r="C75" s="6" t="s">
        <v>247</v>
      </c>
      <c r="D75" s="6" t="s">
        <v>416</v>
      </c>
      <c r="E75" s="7" t="n">
        <v>46387</v>
      </c>
      <c r="F75" s="6"/>
      <c r="G75" s="6"/>
      <c r="H75" s="6"/>
      <c r="I75" s="6"/>
      <c r="J75" s="6"/>
    </row>
    <row r="76" customFormat="false" ht="15" hidden="false" customHeight="false" outlineLevel="0" collapsed="false">
      <c r="A76" s="9" t="n">
        <v>3</v>
      </c>
      <c r="B76" s="6"/>
      <c r="C76" s="6"/>
      <c r="D76" s="6"/>
      <c r="E76" s="7"/>
      <c r="F76" s="6"/>
      <c r="G76" s="6"/>
      <c r="H76" s="6"/>
      <c r="I76" s="6"/>
      <c r="J76" s="6"/>
    </row>
    <row r="78" customFormat="false" ht="19.5" hidden="false" customHeight="true" outlineLevel="0" collapsed="false">
      <c r="A78" s="3" t="s">
        <v>214</v>
      </c>
      <c r="B78" s="3"/>
      <c r="C78" s="3"/>
      <c r="D78" s="3"/>
      <c r="E78" s="3"/>
      <c r="F78" s="3"/>
      <c r="G78" s="3"/>
      <c r="H78" s="3"/>
      <c r="I78" s="3"/>
      <c r="J78" s="3"/>
    </row>
    <row r="79" customFormat="false" ht="15" hidden="false" customHeight="true" outlineLevel="0" collapsed="false">
      <c r="A79" s="8" t="s">
        <v>207</v>
      </c>
      <c r="B79" s="8" t="s">
        <v>215</v>
      </c>
      <c r="C79" s="8" t="s">
        <v>216</v>
      </c>
      <c r="D79" s="8" t="s">
        <v>217</v>
      </c>
      <c r="E79" s="8" t="s">
        <v>211</v>
      </c>
      <c r="F79" s="8" t="s">
        <v>218</v>
      </c>
      <c r="G79" s="8"/>
      <c r="H79" s="8"/>
      <c r="I79" s="8"/>
      <c r="J79" s="8"/>
    </row>
    <row r="80" customFormat="false" ht="23.85" hidden="false" customHeight="false" outlineLevel="0" collapsed="false">
      <c r="A80" s="9" t="n">
        <v>1</v>
      </c>
      <c r="B80" s="6" t="s">
        <v>417</v>
      </c>
      <c r="C80" s="6" t="s">
        <v>401</v>
      </c>
      <c r="D80" s="6" t="s">
        <v>418</v>
      </c>
      <c r="E80" s="7" t="n">
        <v>46371</v>
      </c>
      <c r="F80" s="6"/>
      <c r="G80" s="6"/>
      <c r="H80" s="6"/>
      <c r="I80" s="6"/>
      <c r="J80" s="6"/>
    </row>
    <row r="81" customFormat="false" ht="35.05" hidden="false" customHeight="false" outlineLevel="0" collapsed="false">
      <c r="A81" s="9" t="n">
        <v>2</v>
      </c>
      <c r="B81" s="6" t="s">
        <v>419</v>
      </c>
      <c r="C81" s="6" t="s">
        <v>397</v>
      </c>
      <c r="D81" s="6" t="s">
        <v>402</v>
      </c>
      <c r="E81" s="7" t="n">
        <v>46418</v>
      </c>
      <c r="F81" s="6"/>
      <c r="G81" s="6"/>
      <c r="H81" s="6"/>
      <c r="I81" s="6"/>
      <c r="J81" s="6"/>
    </row>
    <row r="82" customFormat="false" ht="15" hidden="false" customHeight="false" outlineLevel="0" collapsed="false">
      <c r="A82" s="9" t="n">
        <v>3</v>
      </c>
      <c r="B82" s="6"/>
      <c r="C82" s="6"/>
      <c r="D82" s="6"/>
      <c r="E82" s="7"/>
      <c r="F82" s="6"/>
      <c r="G82" s="6"/>
      <c r="H82" s="6"/>
      <c r="I82" s="6"/>
      <c r="J82" s="6"/>
    </row>
    <row r="84" customFormat="false" ht="19.5" hidden="false" customHeight="true" outlineLevel="0" collapsed="false">
      <c r="A84" s="3" t="s">
        <v>219</v>
      </c>
      <c r="B84" s="3"/>
      <c r="C84" s="3"/>
      <c r="D84" s="3"/>
      <c r="E84" s="3"/>
      <c r="F84" s="3"/>
      <c r="G84" s="3"/>
      <c r="H84" s="3"/>
      <c r="I84" s="3"/>
      <c r="J84" s="3"/>
    </row>
    <row r="85" customFormat="false" ht="45" hidden="false" customHeight="true" outlineLevel="0" collapsed="false">
      <c r="B85" s="4" t="s">
        <v>220</v>
      </c>
      <c r="C85" s="6"/>
      <c r="D85" s="6"/>
      <c r="E85" s="6"/>
      <c r="F85" s="6"/>
      <c r="G85" s="6"/>
      <c r="H85" s="6"/>
      <c r="I85" s="6"/>
      <c r="J85" s="6"/>
    </row>
    <row r="86" customFormat="false" ht="45" hidden="false" customHeight="true" outlineLevel="0" collapsed="false">
      <c r="B86" s="4" t="s">
        <v>221</v>
      </c>
      <c r="C86" s="6"/>
      <c r="D86" s="6"/>
      <c r="E86" s="6"/>
      <c r="F86" s="6"/>
      <c r="G86" s="6"/>
      <c r="H86" s="6"/>
      <c r="I86" s="6"/>
      <c r="J86" s="6"/>
    </row>
    <row r="88" customFormat="false" ht="34.5" hidden="false" customHeight="true" outlineLevel="0" collapsed="false">
      <c r="B88" s="4" t="s">
        <v>222</v>
      </c>
      <c r="C88" s="6"/>
      <c r="D88" s="6"/>
      <c r="E88" s="6"/>
      <c r="F88" s="4" t="s">
        <v>223</v>
      </c>
      <c r="G88" s="6"/>
      <c r="H88" s="6"/>
      <c r="I88" s="6"/>
      <c r="J88" s="6"/>
    </row>
  </sheetData>
  <mergeCells count="56">
    <mergeCell ref="A4:J4"/>
    <mergeCell ref="C5:D5"/>
    <mergeCell ref="C6:D6"/>
    <mergeCell ref="C7:D7"/>
    <mergeCell ref="C8:D8"/>
    <mergeCell ref="C9:D9"/>
    <mergeCell ref="C10:D10"/>
    <mergeCell ref="A12:J12"/>
    <mergeCell ref="A28:J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A43:J43"/>
    <mergeCell ref="B44:H44"/>
    <mergeCell ref="B45:H45"/>
    <mergeCell ref="B46:H46"/>
    <mergeCell ref="B47:H47"/>
    <mergeCell ref="B48:H48"/>
    <mergeCell ref="B49:H49"/>
    <mergeCell ref="B50:H50"/>
    <mergeCell ref="F51:J51"/>
    <mergeCell ref="A53:J53"/>
    <mergeCell ref="F55:J57"/>
    <mergeCell ref="A60:J60"/>
    <mergeCell ref="G62:J62"/>
    <mergeCell ref="G63:J63"/>
    <mergeCell ref="G64:J64"/>
    <mergeCell ref="G65:J65"/>
    <mergeCell ref="G66:J66"/>
    <mergeCell ref="G67:J67"/>
    <mergeCell ref="C69:E69"/>
    <mergeCell ref="A72:J72"/>
    <mergeCell ref="G73:J73"/>
    <mergeCell ref="G74:J74"/>
    <mergeCell ref="G75:J75"/>
    <mergeCell ref="G76:J76"/>
    <mergeCell ref="A78:J78"/>
    <mergeCell ref="F79:J79"/>
    <mergeCell ref="F80:J80"/>
    <mergeCell ref="F81:J81"/>
    <mergeCell ref="F82:J82"/>
    <mergeCell ref="A84:J84"/>
    <mergeCell ref="C85:J85"/>
    <mergeCell ref="C86:J86"/>
    <mergeCell ref="C88:E88"/>
    <mergeCell ref="G88:J88"/>
  </mergeCells>
  <conditionalFormatting sqref="I14:I26">
    <cfRule type="cellIs" priority="2" operator="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2</formula>
    </cfRule>
    <cfRule type="cellIs" priority="4" operator="equal" aboveAverage="0" equalAverage="0" bottom="0" percent="0" rank="0" text="" dxfId="2">
      <formula>3</formula>
    </cfRule>
    <cfRule type="cellIs" priority="5" operator="equal" aboveAverage="0" equalAverage="0" bottom="0" percent="0" rank="0" text="" dxfId="3">
      <formula>4</formula>
    </cfRule>
  </conditionalFormatting>
  <conditionalFormatting sqref="I30:I41">
    <cfRule type="cellIs" priority="6" operator="equal" aboveAverage="0" equalAverage="0" bottom="0" percent="0" rank="0" text="" dxfId="0">
      <formula>1</formula>
    </cfRule>
    <cfRule type="cellIs" priority="7" operator="equal" aboveAverage="0" equalAverage="0" bottom="0" percent="0" rank="0" text="" dxfId="1">
      <formula>2</formula>
    </cfRule>
    <cfRule type="cellIs" priority="8" operator="equal" aboveAverage="0" equalAverage="0" bottom="0" percent="0" rank="0" text="" dxfId="2">
      <formula>3</formula>
    </cfRule>
    <cfRule type="cellIs" priority="9" operator="equal" aboveAverage="0" equalAverage="0" bottom="0" percent="0" rank="0" text="" dxfId="3">
      <formula>4</formula>
    </cfRule>
  </conditionalFormatting>
  <conditionalFormatting sqref="I45:I50">
    <cfRule type="cellIs" priority="10" operator="equal" aboveAverage="0" equalAverage="0" bottom="0" percent="0" rank="0" text="" dxfId="2">
      <formula>"Oui"</formula>
    </cfRule>
    <cfRule type="cellIs" priority="11" operator="equal" aboveAverage="0" equalAverage="0" bottom="0" percent="0" rank="0" text="" dxfId="1">
      <formula>"Partiel"</formula>
    </cfRule>
    <cfRule type="cellIs" priority="12" operator="equal" aboveAverage="0" equalAverage="0" bottom="0" percent="0" rank="0" text="" dxfId="0">
      <formula>"Non"</formula>
    </cfRule>
  </conditionalFormatting>
  <conditionalFormatting sqref="C69">
    <cfRule type="expression" priority="13" aboveAverage="0" equalAverage="0" bottom="0" percent="0" rank="0" text="" dxfId="0">
      <formula>LEFT(C69,6)="Alerte"</formula>
    </cfRule>
    <cfRule type="expression" priority="14" aboveAverage="0" equalAverage="0" bottom="0" percent="0" rank="0" text="" dxfId="1">
      <formula>LEFT(C69,4)="Plan"</formula>
    </cfRule>
    <cfRule type="expression" priority="15" aboveAverage="0" equalAverage="0" bottom="0" percent="0" rank="0" text="" dxfId="2">
      <formula>OR(LEFT(C69,6)="Niveau",LEFT(C69,8)="Attentes",LEFT(C69,6)="Au-del")</formula>
    </cfRule>
  </conditionalFormatting>
  <dataValidations count="5">
    <dataValidation allowBlank="true" errorStyle="stop" operator="between" showDropDown="false" showErrorMessage="false" showInputMessage="false" sqref="I14:I26 I30:I41" type="list">
      <formula1>"1,2,3,4,N/A"</formula1>
      <formula2>0</formula2>
    </dataValidation>
    <dataValidation allowBlank="true" errorStyle="stop" operator="between" showDropDown="false" showErrorMessage="false" showInputMessage="false" sqref="C6" type="list">
      <formula1>"4. Team leader,Team leader en prise de poste"</formula1>
      <formula2>0</formula2>
    </dataValidation>
    <dataValidation allowBlank="true" errorStyle="stop" operator="between" showDropDown="false" showErrorMessage="false" showInputMessage="false" sqref="I45:I50" type="list">
      <formula1>"Oui,Partiel,Non"</formula1>
      <formula2>0</formula2>
    </dataValidation>
    <dataValidation allowBlank="true" errorStyle="stop" operator="between" showDropDown="false" showErrorMessage="false" showInputMessage="false" sqref="F74:F76" type="list">
      <formula1>"Atteint,Partiellement atteint,Non atteint"</formula1>
      <formula2>0</formula2>
    </dataValidation>
    <dataValidation allowBlank="true" errorStyle="stop" operator="between" showDropDown="false" showErrorMessage="false" showInputMessage="false" sqref="C80:C82" type="list">
      <formula1>"Formation,Tutorat,Mission,Changement de poste,Autre"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2026-10-04T19:10:56Z</dcterms:created>
  <dc:creator>openpyxl</dc:creator>
  <dc:description/>
  <dc:language>en-US</dc:language>
  <cp:lastModifiedBy/>
  <dcterms:modified xsi:type="dcterms:W3CDTF">2026-10-04T19:10:56Z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